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" headerRowCount="1">
  <autoFilter ref="A1:L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44498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9484325804</v>
      </c>
      <c r="M2" s="4" t="n">
        <v>150313424</v>
      </c>
      <c r="N2" s="4" t="n">
        <v>176759812</v>
      </c>
      <c r="O2" s="3" t="inlineStr">
        <is>
          <t>0.58733033202026</t>
        </is>
      </c>
      <c r="P2" s="3" t="inlineStr">
        <is>
          <t>0.58830169058212</t>
        </is>
      </c>
      <c r="Q2" s="5" t="n">
        <v>0.076719802</v>
      </c>
      <c r="R2" s="4" t="n">
        <v>371535897.55</v>
      </c>
      <c r="S2" s="3" t="n">
        <v>1</v>
      </c>
      <c r="T2" s="3" t="n">
        <v>2</v>
      </c>
    </row>
    <row r="3">
      <c r="A3" s="2" t="n">
        <v>44498</v>
      </c>
      <c r="B3" s="3" t="inlineStr">
        <is>
          <t>512010.SH</t>
        </is>
      </c>
      <c r="C3" s="3" t="inlineStr">
        <is>
          <t>易方达沪深300医药ETF</t>
        </is>
      </c>
      <c r="D3" s="2" t="n">
        <v>41575</v>
      </c>
      <c r="E3" s="3" t="inlineStr">
        <is>
          <t>沪深300医药卫生指数</t>
        </is>
      </c>
      <c r="F3" s="3" t="inlineStr">
        <is>
          <t>沪深300医药卫生指数</t>
        </is>
      </c>
      <c r="G3" s="3" t="inlineStr">
        <is>
          <t>易方达基金管理有限公司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000913.SH</t>
        </is>
      </c>
      <c r="L3" s="4" t="n">
        <v>4881152481.54</v>
      </c>
      <c r="M3" s="4" t="n">
        <v>434173608</v>
      </c>
      <c r="N3" s="4" t="n">
        <v>281776988</v>
      </c>
      <c r="O3" s="3" t="inlineStr">
        <is>
          <t>0.655</t>
        </is>
      </c>
      <c r="P3" s="3" t="inlineStr">
        <is>
          <t>0.64899612230691</t>
        </is>
      </c>
      <c r="Q3" s="5" t="n">
        <v>0.061106019</v>
      </c>
      <c r="R3" s="4" t="n">
        <v>268696579.95</v>
      </c>
      <c r="S3" s="3" t="n">
        <v>2</v>
      </c>
      <c r="T3" s="3" t="n">
        <v>4</v>
      </c>
    </row>
    <row r="4">
      <c r="A4" s="2" t="n">
        <v>44498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4093735359.7</v>
      </c>
      <c r="M4" s="4" t="n">
        <v>120004900</v>
      </c>
      <c r="N4" s="4" t="n">
        <v>165318711</v>
      </c>
      <c r="O4" s="3" t="inlineStr">
        <is>
          <t>1.3508934852753</t>
        </is>
      </c>
      <c r="P4" s="3" t="inlineStr">
        <is>
          <t>1.3485437852109</t>
        </is>
      </c>
      <c r="Q4" s="5" t="n">
        <v>-0.166389351</v>
      </c>
      <c r="R4" s="4" t="n">
        <v>221159807.1</v>
      </c>
      <c r="S4" s="3" t="n">
        <v>3</v>
      </c>
      <c r="T4" s="3" t="n">
        <v>2</v>
      </c>
    </row>
    <row r="5">
      <c r="A5" s="2" t="n">
        <v>44498</v>
      </c>
      <c r="B5" s="3" t="inlineStr">
        <is>
          <t>515220.SH</t>
        </is>
      </c>
      <c r="C5" s="3" t="inlineStr">
        <is>
          <t>国泰中证煤炭ETF</t>
        </is>
      </c>
      <c r="D5" s="2" t="n">
        <v>43892</v>
      </c>
      <c r="E5" s="3" t="inlineStr">
        <is>
          <t>中证煤炭指数</t>
        </is>
      </c>
      <c r="F5" s="3" t="inlineStr">
        <is>
          <t>中证煤炭指数收益率</t>
        </is>
      </c>
      <c r="G5" s="3" t="inlineStr">
        <is>
          <t>国泰基金管理有限公司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399998.SZ</t>
        </is>
      </c>
      <c r="L5" s="4" t="n">
        <v>3214470069.7</v>
      </c>
      <c r="M5" s="4" t="n">
        <v>165265588</v>
      </c>
      <c r="N5" s="4" t="n">
        <v>323047974</v>
      </c>
      <c r="O5" s="3" t="inlineStr">
        <is>
          <t>0.83352198250141</t>
        </is>
      </c>
      <c r="P5" s="3" t="inlineStr">
        <is>
          <t>0.83596829645738</t>
        </is>
      </c>
      <c r="Q5" s="5" t="n">
        <v>-0.163917631</v>
      </c>
      <c r="R5" s="4" t="n">
        <v>478736323.85</v>
      </c>
      <c r="S5" s="3" t="n">
        <v>4</v>
      </c>
      <c r="T5" s="3" t="n">
        <v>2</v>
      </c>
    </row>
    <row r="6">
      <c r="A6" s="2" t="n">
        <v>44498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35352275652.45</v>
      </c>
      <c r="M6" s="4" t="n">
        <v>2006829070</v>
      </c>
      <c r="N6" s="4" t="n">
        <v>2209323661</v>
      </c>
      <c r="O6" s="3" t="inlineStr">
        <is>
          <t>1.11</t>
        </is>
      </c>
      <c r="P6" s="3" t="inlineStr">
        <is>
          <t>1.1009027594961</t>
        </is>
      </c>
      <c r="Q6" s="5" t="n">
        <v>-0.027019724</v>
      </c>
      <c r="R6" s="4" t="n">
        <v>1606587353.45</v>
      </c>
      <c r="S6" s="3" t="n">
        <v>5</v>
      </c>
      <c r="T6" s="3" t="n">
        <v>2</v>
      </c>
    </row>
    <row r="7">
      <c r="A7" s="2" t="n">
        <v>44498</v>
      </c>
      <c r="B7" s="3" t="inlineStr">
        <is>
          <t>159996.SZ</t>
        </is>
      </c>
      <c r="C7" s="3" t="inlineStr">
        <is>
          <t>国泰中证全指家用电器ETF</t>
        </is>
      </c>
      <c r="D7" s="2" t="n">
        <v>43906</v>
      </c>
      <c r="E7" s="3" t="inlineStr">
        <is>
          <t>中证全指家用电器指数</t>
        </is>
      </c>
      <c r="F7" s="3" t="inlineStr">
        <is>
          <t>中证全指家用电器指数收益率</t>
        </is>
      </c>
      <c r="G7" s="3" t="inlineStr">
        <is>
          <t>国泰基金管理有限公司</t>
        </is>
      </c>
      <c r="H7" s="3" t="inlineStr">
        <is>
          <t>上海浦东发展银行股份有限公司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930697.CSI</t>
        </is>
      </c>
      <c r="L7" s="4" t="n">
        <v>1064153456.5224</v>
      </c>
      <c r="M7" s="4" t="n">
        <v>60509500</v>
      </c>
      <c r="N7" s="4" t="n">
        <v>72293701.59999999</v>
      </c>
      <c r="O7" s="3" t="inlineStr">
        <is>
          <t>1.201</t>
        </is>
      </c>
      <c r="P7" s="3" t="inlineStr">
        <is>
          <t>1.1947496112181</t>
        </is>
      </c>
      <c r="Q7" s="5" t="n">
        <v>-0.28229824</v>
      </c>
      <c r="R7" s="4" t="n">
        <v>85276673.8915</v>
      </c>
      <c r="S7" s="3" t="n">
        <v>6</v>
      </c>
      <c r="T7" s="3" t="n">
        <v>1</v>
      </c>
    </row>
    <row r="8">
      <c r="A8" s="2" t="n">
        <v>44498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1670791147.6</v>
      </c>
      <c r="M8" s="4" t="n">
        <v>138618200</v>
      </c>
      <c r="N8" s="4" t="n">
        <v>101379096</v>
      </c>
      <c r="O8" s="3" t="inlineStr">
        <is>
          <t>2.0530755</t>
        </is>
      </c>
      <c r="P8" s="3" t="inlineStr">
        <is>
          <t>2.0428935656126</t>
        </is>
      </c>
      <c r="Q8" s="5" t="n">
        <v>-0.013603591</v>
      </c>
      <c r="R8" s="4" t="n">
        <v>82883268.2</v>
      </c>
      <c r="S8" s="3" t="n">
        <v>7</v>
      </c>
      <c r="T8" s="3" t="n">
        <v>1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399437.SZ</t>
        </is>
      </c>
      <c r="K1" s="1" t="inlineStr">
        <is>
          <t>399975.SZ</t>
        </is>
      </c>
      <c r="L1" s="1" t="inlineStr">
        <is>
          <t>399986.SZ</t>
        </is>
      </c>
      <c r="M1" s="1" t="inlineStr">
        <is>
          <t>399998.SZ</t>
        </is>
      </c>
      <c r="N1" s="1" t="inlineStr">
        <is>
          <t>930606.CSI</t>
        </is>
      </c>
      <c r="O1" s="1" t="inlineStr">
        <is>
          <t>930697.CSI</t>
        </is>
      </c>
      <c r="P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0.3799428246476907</v>
      </c>
      <c r="E2" s="7" t="n">
        <v>-0.04612846111553513</v>
      </c>
      <c r="F2" s="7" t="n">
        <v>0.1518138716751496</v>
      </c>
      <c r="G2" s="7" t="n">
        <v>0.03951220160413717</v>
      </c>
      <c r="H2" s="7" t="n">
        <v>0.4291459580469215</v>
      </c>
      <c r="I2" s="7" t="n">
        <v>0.1716182525524311</v>
      </c>
      <c r="J2" s="7" t="n">
        <v>0.8198344465919989</v>
      </c>
      <c r="K2" s="7" t="n">
        <v>0.8194420437726671</v>
      </c>
      <c r="L2" s="7" t="n">
        <v>0.943201291638967</v>
      </c>
      <c r="M2" s="7" t="n">
        <v>0.0001879384464780824</v>
      </c>
      <c r="N2" s="7" t="n">
        <v>0.01721905346278566</v>
      </c>
      <c r="O2" s="7" t="n">
        <v>0.565463362008586</v>
      </c>
      <c r="P2" s="7" t="n">
        <v>0.5376749635376866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0.3799428246476907</v>
      </c>
      <c r="D3" s="7" t="n">
        <v>1</v>
      </c>
      <c r="E3" s="7" t="n">
        <v>-0.3929157216639546</v>
      </c>
      <c r="F3" s="7" t="n">
        <v>0.7358286991500856</v>
      </c>
      <c r="G3" s="7" t="n">
        <v>-0.3862054937810549</v>
      </c>
      <c r="H3" s="7" t="n">
        <v>0.9674720690179718</v>
      </c>
      <c r="I3" s="7" t="n">
        <v>0.7400910697904598</v>
      </c>
      <c r="J3" s="7" t="n">
        <v>0.2907699980075607</v>
      </c>
      <c r="K3" s="7" t="n">
        <v>0.2886927774032669</v>
      </c>
      <c r="L3" s="7" t="n">
        <v>0.3447862900294629</v>
      </c>
      <c r="M3" s="7" t="n">
        <v>-0.4643962413291449</v>
      </c>
      <c r="N3" s="7" t="n">
        <v>-0.4616419677503557</v>
      </c>
      <c r="O3" s="7" t="n">
        <v>0.6903020806691982</v>
      </c>
      <c r="P3" s="7" t="n">
        <v>0.01971595318976355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-0.04612846111553513</v>
      </c>
      <c r="D4" s="7" t="n">
        <v>-0.3929157216639546</v>
      </c>
      <c r="E4" s="7" t="n">
        <v>1</v>
      </c>
      <c r="F4" s="7" t="n">
        <v>-0.2303164976881645</v>
      </c>
      <c r="G4" s="7" t="n">
        <v>0.5563575086918647</v>
      </c>
      <c r="H4" s="7" t="n">
        <v>-0.3883069197403371</v>
      </c>
      <c r="I4" s="7" t="n">
        <v>-0.2302099642867654</v>
      </c>
      <c r="J4" s="7" t="n">
        <v>0.1645870112017737</v>
      </c>
      <c r="K4" s="7" t="n">
        <v>0.1645207606367846</v>
      </c>
      <c r="L4" s="7" t="n">
        <v>-0.03820732543981854</v>
      </c>
      <c r="M4" s="7" t="n">
        <v>0.6383321794421678</v>
      </c>
      <c r="N4" s="7" t="n">
        <v>0.7570502452928441</v>
      </c>
      <c r="O4" s="7" t="n">
        <v>-0.3321170873989271</v>
      </c>
      <c r="P4" s="7" t="n">
        <v>0.06459131286731438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0.1518138716751496</v>
      </c>
      <c r="D5" s="7" t="n">
        <v>0.7358286991500856</v>
      </c>
      <c r="E5" s="7" t="n">
        <v>-0.2303164976881645</v>
      </c>
      <c r="F5" s="7" t="n">
        <v>1</v>
      </c>
      <c r="G5" s="7" t="n">
        <v>-0.1730002097602574</v>
      </c>
      <c r="H5" s="7" t="n">
        <v>0.7178789304561434</v>
      </c>
      <c r="I5" s="7" t="n">
        <v>0.9960137422702204</v>
      </c>
      <c r="J5" s="7" t="n">
        <v>0.2674843461602393</v>
      </c>
      <c r="K5" s="7" t="n">
        <v>0.2583288623038452</v>
      </c>
      <c r="L5" s="7" t="n">
        <v>0.05574327628516194</v>
      </c>
      <c r="M5" s="7" t="n">
        <v>-0.2549495684221594</v>
      </c>
      <c r="N5" s="7" t="n">
        <v>-0.269990246931464</v>
      </c>
      <c r="O5" s="7" t="n">
        <v>0.6067329037991804</v>
      </c>
      <c r="P5" s="7" t="n">
        <v>-0.03759031946729642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0.03951220160413717</v>
      </c>
      <c r="D6" s="7" t="n">
        <v>-0.3862054937810549</v>
      </c>
      <c r="E6" s="7" t="n">
        <v>0.5563575086918647</v>
      </c>
      <c r="F6" s="7" t="n">
        <v>-0.1730002097602574</v>
      </c>
      <c r="G6" s="7" t="n">
        <v>1</v>
      </c>
      <c r="H6" s="7" t="n">
        <v>-0.3376292518204969</v>
      </c>
      <c r="I6" s="7" t="n">
        <v>-0.1623925279823453</v>
      </c>
      <c r="J6" s="7" t="n">
        <v>0.150696694087154</v>
      </c>
      <c r="K6" s="7" t="n">
        <v>0.1521929465063349</v>
      </c>
      <c r="L6" s="7" t="n">
        <v>0.03642177495364235</v>
      </c>
      <c r="M6" s="7" t="n">
        <v>0.9566244402024886</v>
      </c>
      <c r="N6" s="7" t="n">
        <v>0.6925542953830205</v>
      </c>
      <c r="O6" s="7" t="n">
        <v>-0.2269713396832085</v>
      </c>
      <c r="P6" s="7" t="n">
        <v>0.281536392424773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0.4291459580469215</v>
      </c>
      <c r="D7" s="7" t="n">
        <v>0.9674720690179718</v>
      </c>
      <c r="E7" s="7" t="n">
        <v>-0.3883069197403371</v>
      </c>
      <c r="F7" s="7" t="n">
        <v>0.7178789304561434</v>
      </c>
      <c r="G7" s="7" t="n">
        <v>-0.3376292518204969</v>
      </c>
      <c r="H7" s="7" t="n">
        <v>1</v>
      </c>
      <c r="I7" s="7" t="n">
        <v>0.7230762979394979</v>
      </c>
      <c r="J7" s="7" t="n">
        <v>0.2982815355884275</v>
      </c>
      <c r="K7" s="7" t="n">
        <v>0.2964949258463367</v>
      </c>
      <c r="L7" s="7" t="n">
        <v>0.4029608134001076</v>
      </c>
      <c r="M7" s="7" t="n">
        <v>-0.4165988462756536</v>
      </c>
      <c r="N7" s="7" t="n">
        <v>-0.4416531204017477</v>
      </c>
      <c r="O7" s="7" t="n">
        <v>0.6695487520602093</v>
      </c>
      <c r="P7" s="7" t="n">
        <v>0.003174057644656875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0.1716182525524311</v>
      </c>
      <c r="D8" s="7" t="n">
        <v>0.7400910697904598</v>
      </c>
      <c r="E8" s="7" t="n">
        <v>-0.2302099642867654</v>
      </c>
      <c r="F8" s="7" t="n">
        <v>0.9960137422702204</v>
      </c>
      <c r="G8" s="7" t="n">
        <v>-0.1623925279823453</v>
      </c>
      <c r="H8" s="7" t="n">
        <v>0.7230762979394979</v>
      </c>
      <c r="I8" s="7" t="n">
        <v>1</v>
      </c>
      <c r="J8" s="7" t="n">
        <v>0.2897234945256589</v>
      </c>
      <c r="K8" s="7" t="n">
        <v>0.2809774538309989</v>
      </c>
      <c r="L8" s="7" t="n">
        <v>0.07224221456293527</v>
      </c>
      <c r="M8" s="7" t="n">
        <v>-0.2440915813388483</v>
      </c>
      <c r="N8" s="7" t="n">
        <v>-0.2540193249915322</v>
      </c>
      <c r="O8" s="7" t="n">
        <v>0.6254560739648861</v>
      </c>
      <c r="P8" s="7" t="n">
        <v>-0.01158487634385755</v>
      </c>
    </row>
    <row r="9">
      <c r="A9" s="6" t="inlineStr">
        <is>
          <t>399437.SZ</t>
        </is>
      </c>
      <c r="B9" s="6" t="inlineStr">
        <is>
          <t>国证证券龙头指数</t>
        </is>
      </c>
      <c r="C9" s="7" t="n">
        <v>0.8198344465919989</v>
      </c>
      <c r="D9" s="7" t="n">
        <v>0.2907699980075607</v>
      </c>
      <c r="E9" s="7" t="n">
        <v>0.1645870112017737</v>
      </c>
      <c r="F9" s="7" t="n">
        <v>0.2674843461602393</v>
      </c>
      <c r="G9" s="7" t="n">
        <v>0.150696694087154</v>
      </c>
      <c r="H9" s="7" t="n">
        <v>0.2982815355884275</v>
      </c>
      <c r="I9" s="7" t="n">
        <v>0.2897234945256589</v>
      </c>
      <c r="J9" s="7" t="n">
        <v>1</v>
      </c>
      <c r="K9" s="7" t="n">
        <v>0.9988202751504554</v>
      </c>
      <c r="L9" s="7" t="n">
        <v>0.6651230717689308</v>
      </c>
      <c r="M9" s="7" t="n">
        <v>0.09751586818972859</v>
      </c>
      <c r="N9" s="7" t="n">
        <v>0.2077797870369243</v>
      </c>
      <c r="O9" s="7" t="n">
        <v>0.4793069363748198</v>
      </c>
      <c r="P9" s="7" t="n">
        <v>0.4876807496277845</v>
      </c>
    </row>
    <row r="10">
      <c r="A10" s="6" t="inlineStr">
        <is>
          <t>399975.SZ</t>
        </is>
      </c>
      <c r="B10" s="6" t="inlineStr">
        <is>
          <t>中证全指证券公司指数</t>
        </is>
      </c>
      <c r="C10" s="7" t="n">
        <v>0.8194420437726671</v>
      </c>
      <c r="D10" s="7" t="n">
        <v>0.2886927774032669</v>
      </c>
      <c r="E10" s="7" t="n">
        <v>0.1645207606367846</v>
      </c>
      <c r="F10" s="7" t="n">
        <v>0.2583288623038452</v>
      </c>
      <c r="G10" s="7" t="n">
        <v>0.1521929465063349</v>
      </c>
      <c r="H10" s="7" t="n">
        <v>0.2964949258463367</v>
      </c>
      <c r="I10" s="7" t="n">
        <v>0.2809774538309989</v>
      </c>
      <c r="J10" s="7" t="n">
        <v>0.9988202751504554</v>
      </c>
      <c r="K10" s="7" t="n">
        <v>1</v>
      </c>
      <c r="L10" s="7" t="n">
        <v>0.6658999992680508</v>
      </c>
      <c r="M10" s="7" t="n">
        <v>0.0997354242611083</v>
      </c>
      <c r="N10" s="7" t="n">
        <v>0.2073972195024612</v>
      </c>
      <c r="O10" s="7" t="n">
        <v>0.4749887169945985</v>
      </c>
      <c r="P10" s="7" t="n">
        <v>0.4872741008101586</v>
      </c>
    </row>
    <row r="11">
      <c r="A11" s="6" t="inlineStr">
        <is>
          <t>399986.SZ</t>
        </is>
      </c>
      <c r="B11" s="6" t="inlineStr">
        <is>
          <t>中证银行指数</t>
        </is>
      </c>
      <c r="C11" s="7" t="n">
        <v>0.943201291638967</v>
      </c>
      <c r="D11" s="7" t="n">
        <v>0.3447862900294629</v>
      </c>
      <c r="E11" s="7" t="n">
        <v>-0.03820732543981854</v>
      </c>
      <c r="F11" s="7" t="n">
        <v>0.05574327628516194</v>
      </c>
      <c r="G11" s="7" t="n">
        <v>0.03642177495364235</v>
      </c>
      <c r="H11" s="7" t="n">
        <v>0.4029608134001076</v>
      </c>
      <c r="I11" s="7" t="n">
        <v>0.07224221456293527</v>
      </c>
      <c r="J11" s="7" t="n">
        <v>0.6651230717689308</v>
      </c>
      <c r="K11" s="7" t="n">
        <v>0.6658999992680508</v>
      </c>
      <c r="L11" s="7" t="n">
        <v>1</v>
      </c>
      <c r="M11" s="7" t="n">
        <v>0.03737269198669287</v>
      </c>
      <c r="N11" s="7" t="n">
        <v>-0.02903850910061162</v>
      </c>
      <c r="O11" s="7" t="n">
        <v>0.4714621358986769</v>
      </c>
      <c r="P11" s="7" t="n">
        <v>0.5221106195581267</v>
      </c>
    </row>
    <row r="12">
      <c r="A12" s="6" t="inlineStr">
        <is>
          <t>399998.SZ</t>
        </is>
      </c>
      <c r="B12" s="6" t="inlineStr">
        <is>
          <t>中证煤炭指数</t>
        </is>
      </c>
      <c r="C12" s="7" t="n">
        <v>0.0001879384464780824</v>
      </c>
      <c r="D12" s="7" t="n">
        <v>-0.4643962413291449</v>
      </c>
      <c r="E12" s="7" t="n">
        <v>0.6383321794421678</v>
      </c>
      <c r="F12" s="7" t="n">
        <v>-0.2549495684221594</v>
      </c>
      <c r="G12" s="7" t="n">
        <v>0.9566244402024886</v>
      </c>
      <c r="H12" s="7" t="n">
        <v>-0.4165988462756536</v>
      </c>
      <c r="I12" s="7" t="n">
        <v>-0.2440915813388483</v>
      </c>
      <c r="J12" s="7" t="n">
        <v>0.09751586818972859</v>
      </c>
      <c r="K12" s="7" t="n">
        <v>0.0997354242611083</v>
      </c>
      <c r="L12" s="7" t="n">
        <v>0.03737269198669287</v>
      </c>
      <c r="M12" s="7" t="n">
        <v>1</v>
      </c>
      <c r="N12" s="7" t="n">
        <v>0.7455088521239668</v>
      </c>
      <c r="O12" s="7" t="n">
        <v>-0.2768972187962604</v>
      </c>
      <c r="P12" s="7" t="n">
        <v>0.2748079519997821</v>
      </c>
    </row>
    <row r="13">
      <c r="A13" s="6" t="inlineStr">
        <is>
          <t>930606.CSI</t>
        </is>
      </c>
      <c r="B13" s="6" t="inlineStr">
        <is>
          <t>中证钢铁指数</t>
        </is>
      </c>
      <c r="C13" s="7" t="n">
        <v>0.01721905346278566</v>
      </c>
      <c r="D13" s="7" t="n">
        <v>-0.4616419677503557</v>
      </c>
      <c r="E13" s="7" t="n">
        <v>0.7570502452928441</v>
      </c>
      <c r="F13" s="7" t="n">
        <v>-0.269990246931464</v>
      </c>
      <c r="G13" s="7" t="n">
        <v>0.6925542953830205</v>
      </c>
      <c r="H13" s="7" t="n">
        <v>-0.4416531204017477</v>
      </c>
      <c r="I13" s="7" t="n">
        <v>-0.2540193249915322</v>
      </c>
      <c r="J13" s="7" t="n">
        <v>0.2077797870369243</v>
      </c>
      <c r="K13" s="7" t="n">
        <v>0.2073972195024612</v>
      </c>
      <c r="L13" s="7" t="n">
        <v>-0.02903850910061162</v>
      </c>
      <c r="M13" s="7" t="n">
        <v>0.7455088521239668</v>
      </c>
      <c r="N13" s="7" t="n">
        <v>1</v>
      </c>
      <c r="O13" s="7" t="n">
        <v>-0.2467263376695636</v>
      </c>
      <c r="P13" s="7" t="n">
        <v>0.2377984602296256</v>
      </c>
    </row>
    <row r="14">
      <c r="A14" s="6" t="inlineStr">
        <is>
          <t>930697.CSI</t>
        </is>
      </c>
      <c r="B14" s="6" t="inlineStr">
        <is>
          <t>中证全指家用电器指数</t>
        </is>
      </c>
      <c r="C14" s="7" t="n">
        <v>0.565463362008586</v>
      </c>
      <c r="D14" s="7" t="n">
        <v>0.6903020806691982</v>
      </c>
      <c r="E14" s="7" t="n">
        <v>-0.3321170873989271</v>
      </c>
      <c r="F14" s="7" t="n">
        <v>0.6067329037991804</v>
      </c>
      <c r="G14" s="7" t="n">
        <v>-0.2269713396832085</v>
      </c>
      <c r="H14" s="7" t="n">
        <v>0.6695487520602093</v>
      </c>
      <c r="I14" s="7" t="n">
        <v>0.6254560739648861</v>
      </c>
      <c r="J14" s="7" t="n">
        <v>0.4793069363748198</v>
      </c>
      <c r="K14" s="7" t="n">
        <v>0.4749887169945985</v>
      </c>
      <c r="L14" s="7" t="n">
        <v>0.4714621358986769</v>
      </c>
      <c r="M14" s="7" t="n">
        <v>-0.2768972187962604</v>
      </c>
      <c r="N14" s="7" t="n">
        <v>-0.2467263376695636</v>
      </c>
      <c r="O14" s="7" t="n">
        <v>1</v>
      </c>
      <c r="P14" s="7" t="n">
        <v>0.314040933320624</v>
      </c>
    </row>
    <row r="15">
      <c r="A15" s="6" t="inlineStr">
        <is>
          <t>931775.CSI</t>
        </is>
      </c>
      <c r="B15" s="6" t="inlineStr">
        <is>
          <t>中证全指房地产指数</t>
        </is>
      </c>
      <c r="C15" s="7" t="n">
        <v>0.5376749635376866</v>
      </c>
      <c r="D15" s="7" t="n">
        <v>0.01971595318976355</v>
      </c>
      <c r="E15" s="7" t="n">
        <v>0.06459131286731438</v>
      </c>
      <c r="F15" s="7" t="n">
        <v>-0.03759031946729642</v>
      </c>
      <c r="G15" s="7" t="n">
        <v>0.281536392424773</v>
      </c>
      <c r="H15" s="7" t="n">
        <v>0.003174057644656875</v>
      </c>
      <c r="I15" s="7" t="n">
        <v>-0.01158487634385755</v>
      </c>
      <c r="J15" s="7" t="n">
        <v>0.4876807496277845</v>
      </c>
      <c r="K15" s="7" t="n">
        <v>0.4872741008101586</v>
      </c>
      <c r="L15" s="7" t="n">
        <v>0.5221106195581267</v>
      </c>
      <c r="M15" s="7" t="n">
        <v>0.2748079519997821</v>
      </c>
      <c r="N15" s="7" t="n">
        <v>0.2377984602296256</v>
      </c>
      <c r="O15" s="7" t="n">
        <v>0.314040933320624</v>
      </c>
      <c r="P15" s="7" t="n">
        <v>1</v>
      </c>
    </row>
  </sheetData>
  <conditionalFormatting sqref="C2:P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371535897.55</v>
      </c>
      <c r="I2" s="11" t="n">
        <v>1</v>
      </c>
      <c r="J2" s="11" t="n">
        <v>0.943201291638967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52994247.7</v>
      </c>
      <c r="I3" s="5" t="n">
        <v>0.943201291638967</v>
      </c>
      <c r="J3" s="5" t="n">
        <v>0.943201291638967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512010.SH</t>
        </is>
      </c>
      <c r="D4" s="8" t="inlineStr">
        <is>
          <t>易方达沪深300医药ETF</t>
        </is>
      </c>
      <c r="E4" s="8" t="inlineStr">
        <is>
          <t>股票型ETF</t>
        </is>
      </c>
      <c r="F4" s="8" t="inlineStr">
        <is>
          <t>000913.SH</t>
        </is>
      </c>
      <c r="G4" s="8" t="inlineStr">
        <is>
          <t>沪深300医药卫生指数</t>
        </is>
      </c>
      <c r="H4" s="10" t="n">
        <v>268696579.95</v>
      </c>
      <c r="I4" s="11" t="n">
        <v>1</v>
      </c>
      <c r="J4" s="11" t="n">
        <v>0.717878930456143</v>
      </c>
      <c r="K4" s="11" t="n">
        <v>0.7</v>
      </c>
      <c r="L4" s="11" t="n">
        <v>0.3</v>
      </c>
    </row>
    <row r="5">
      <c r="A5" s="3" t="n">
        <v>2</v>
      </c>
      <c r="B5" s="3" t="inlineStr">
        <is>
          <t>否</t>
        </is>
      </c>
      <c r="C5" s="3" t="inlineStr">
        <is>
          <t>159928.SZ</t>
        </is>
      </c>
      <c r="D5" s="3" t="inlineStr">
        <is>
          <t>汇添富中证主要消费ETF</t>
        </is>
      </c>
      <c r="E5" s="3" t="inlineStr">
        <is>
          <t>股票型ETF</t>
        </is>
      </c>
      <c r="F5" s="3" t="inlineStr">
        <is>
          <t>000932.SH</t>
        </is>
      </c>
      <c r="G5" s="3" t="inlineStr">
        <is>
          <t>中证主要消费指数</t>
        </is>
      </c>
      <c r="H5" s="4" t="n">
        <v>245227362.863</v>
      </c>
      <c r="I5" s="5" t="n">
        <v>0.717878930456143</v>
      </c>
      <c r="J5" s="5" t="n">
        <v>0.717878930456143</v>
      </c>
      <c r="K5" s="5" t="n">
        <v>0.7</v>
      </c>
      <c r="L5" s="5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159929.SZ</t>
        </is>
      </c>
      <c r="D6" s="3" t="inlineStr">
        <is>
          <t>汇添富中证医药卫生ETF</t>
        </is>
      </c>
      <c r="E6" s="3" t="inlineStr">
        <is>
          <t>股票型ETF</t>
        </is>
      </c>
      <c r="F6" s="3" t="inlineStr">
        <is>
          <t>000933.SH</t>
        </is>
      </c>
      <c r="G6" s="3" t="inlineStr">
        <is>
          <t>中证医药卫生指数</t>
        </is>
      </c>
      <c r="H6" s="4" t="n">
        <v>32075908.617</v>
      </c>
      <c r="I6" s="5" t="n">
        <v>0.99601374227022</v>
      </c>
      <c r="J6" s="5" t="n">
        <v>0.717878930456143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22117300.95</v>
      </c>
      <c r="I7" s="5" t="n">
        <v>0.735828699150086</v>
      </c>
      <c r="J7" s="5" t="n">
        <v>0.717878930456143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221159807.1</v>
      </c>
      <c r="I8" s="11" t="n">
        <v>1</v>
      </c>
      <c r="J8" s="11" t="n">
        <v>0.757050245292844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515210.SH</t>
        </is>
      </c>
      <c r="D9" s="3" t="inlineStr">
        <is>
          <t>国泰中证钢铁ETF</t>
        </is>
      </c>
      <c r="E9" s="3" t="inlineStr">
        <is>
          <t>股票型ETF</t>
        </is>
      </c>
      <c r="F9" s="3" t="inlineStr">
        <is>
          <t>930606.CSI</t>
        </is>
      </c>
      <c r="G9" s="3" t="inlineStr">
        <is>
          <t>中证钢铁指数</t>
        </is>
      </c>
      <c r="H9" s="4" t="n">
        <v>172445930.1</v>
      </c>
      <c r="I9" s="5" t="n">
        <v>0.757050245292844</v>
      </c>
      <c r="J9" s="5" t="n">
        <v>0.757050245292844</v>
      </c>
      <c r="K9" s="5" t="n">
        <v>0.7</v>
      </c>
      <c r="L9" s="5" t="n">
        <v>0.3</v>
      </c>
    </row>
    <row r="10">
      <c r="A10" s="8" t="n">
        <v>4</v>
      </c>
      <c r="B10" s="9" t="inlineStr">
        <is>
          <t>是</t>
        </is>
      </c>
      <c r="C10" s="8" t="inlineStr">
        <is>
          <t>515220.SH</t>
        </is>
      </c>
      <c r="D10" s="8" t="inlineStr">
        <is>
          <t>国泰中证煤炭ETF</t>
        </is>
      </c>
      <c r="E10" s="8" t="inlineStr">
        <is>
          <t>股票型ETF</t>
        </is>
      </c>
      <c r="F10" s="8" t="inlineStr">
        <is>
          <t>399998.SZ</t>
        </is>
      </c>
      <c r="G10" s="8" t="inlineStr">
        <is>
          <t>中证煤炭指数</t>
        </is>
      </c>
      <c r="H10" s="10" t="n">
        <v>478736323.85</v>
      </c>
      <c r="I10" s="11" t="n">
        <v>1</v>
      </c>
      <c r="J10" s="11" t="n">
        <v>0.956624440202489</v>
      </c>
      <c r="K10" s="11" t="n">
        <v>0.7</v>
      </c>
      <c r="L10" s="11" t="n">
        <v>0.3</v>
      </c>
    </row>
    <row r="11">
      <c r="A11" s="3" t="n">
        <v>4</v>
      </c>
      <c r="B11" s="3" t="inlineStr">
        <is>
          <t>否</t>
        </is>
      </c>
      <c r="C11" s="3" t="inlineStr">
        <is>
          <t>159930.SZ</t>
        </is>
      </c>
      <c r="D11" s="3" t="inlineStr">
        <is>
          <t>汇添富中证能源ETF</t>
        </is>
      </c>
      <c r="E11" s="3" t="inlineStr">
        <is>
          <t>股票型ETF</t>
        </is>
      </c>
      <c r="F11" s="3" t="inlineStr">
        <is>
          <t>000928.SH</t>
        </is>
      </c>
      <c r="G11" s="3" t="inlineStr">
        <is>
          <t>中证能源指数</t>
        </is>
      </c>
      <c r="H11" s="4" t="n">
        <v>44076709.462</v>
      </c>
      <c r="I11" s="5" t="n">
        <v>0.956624440202489</v>
      </c>
      <c r="J11" s="5" t="n">
        <v>0.956624440202489</v>
      </c>
      <c r="K11" s="5" t="n">
        <v>0.7</v>
      </c>
      <c r="L11" s="5" t="n">
        <v>0.3</v>
      </c>
    </row>
    <row r="12">
      <c r="A12" s="8" t="n">
        <v>5</v>
      </c>
      <c r="B12" s="9" t="inlineStr">
        <is>
          <t>是</t>
        </is>
      </c>
      <c r="C12" s="8" t="inlineStr">
        <is>
          <t>512880.SH</t>
        </is>
      </c>
      <c r="D12" s="8" t="inlineStr">
        <is>
          <t>国泰中证全指证券公司ETF</t>
        </is>
      </c>
      <c r="E12" s="8" t="inlineStr">
        <is>
          <t>股票型ETF</t>
        </is>
      </c>
      <c r="F12" s="8" t="inlineStr">
        <is>
          <t>399975.SZ</t>
        </is>
      </c>
      <c r="G12" s="8" t="inlineStr">
        <is>
          <t>中证全指证券公司指数</t>
        </is>
      </c>
      <c r="H12" s="10" t="n">
        <v>1606587353.45</v>
      </c>
      <c r="I12" s="11" t="n">
        <v>1</v>
      </c>
      <c r="J12" s="11" t="n">
        <v>0.998820275150455</v>
      </c>
      <c r="K12" s="11" t="n">
        <v>0.7</v>
      </c>
      <c r="L12" s="11" t="n">
        <v>0.3</v>
      </c>
    </row>
    <row r="13">
      <c r="A13" s="3" t="n">
        <v>5</v>
      </c>
      <c r="B13" s="3" t="inlineStr">
        <is>
          <t>否</t>
        </is>
      </c>
      <c r="C13" s="3" t="inlineStr">
        <is>
          <t>159993.SZ</t>
        </is>
      </c>
      <c r="D13" s="3" t="inlineStr">
        <is>
          <t>龙头券商</t>
        </is>
      </c>
      <c r="E13" s="3" t="inlineStr">
        <is>
          <t>股票型ETF</t>
        </is>
      </c>
      <c r="F13" s="3" t="inlineStr">
        <is>
          <t>399437.SZ</t>
        </is>
      </c>
      <c r="G13" s="3" t="inlineStr">
        <is>
          <t>国证证券龙头指数</t>
        </is>
      </c>
      <c r="H13" s="4" t="n">
        <v>56371555.513</v>
      </c>
      <c r="I13" s="5" t="n">
        <v>0.998820275150455</v>
      </c>
      <c r="J13" s="5" t="n">
        <v>0.998820275150455</v>
      </c>
      <c r="K13" s="5" t="n">
        <v>0.7</v>
      </c>
      <c r="L13" s="5" t="n">
        <v>0.3</v>
      </c>
    </row>
    <row r="14">
      <c r="A14" s="8" t="n">
        <v>6</v>
      </c>
      <c r="B14" s="9" t="inlineStr">
        <is>
          <t>是</t>
        </is>
      </c>
      <c r="C14" s="8" t="inlineStr">
        <is>
          <t>159996.SZ</t>
        </is>
      </c>
      <c r="D14" s="8" t="inlineStr">
        <is>
          <t>国泰中证全指家用电器ETF</t>
        </is>
      </c>
      <c r="E14" s="8" t="inlineStr">
        <is>
          <t>股票型ETF</t>
        </is>
      </c>
      <c r="F14" s="8" t="inlineStr">
        <is>
          <t>930697.CSI</t>
        </is>
      </c>
      <c r="G14" s="8" t="inlineStr">
        <is>
          <t>中证全指家用电器指数</t>
        </is>
      </c>
      <c r="H14" s="10" t="n">
        <v>85276673.8915</v>
      </c>
      <c r="I14" s="11" t="n">
        <v>1</v>
      </c>
      <c r="J14" s="11" t="n"/>
      <c r="K14" s="11" t="n">
        <v>0.7</v>
      </c>
      <c r="L14" s="11" t="n">
        <v>0.3</v>
      </c>
    </row>
    <row r="15">
      <c r="A15" s="8" t="n">
        <v>7</v>
      </c>
      <c r="B15" s="9" t="inlineStr">
        <is>
          <t>是</t>
        </is>
      </c>
      <c r="C15" s="8" t="inlineStr">
        <is>
          <t>512200.SH</t>
        </is>
      </c>
      <c r="D15" s="8" t="inlineStr">
        <is>
          <t>南方中证全指房地产ETF</t>
        </is>
      </c>
      <c r="E15" s="8" t="inlineStr">
        <is>
          <t>股票型ETF</t>
        </is>
      </c>
      <c r="F15" s="8" t="inlineStr">
        <is>
          <t>931775.CSI</t>
        </is>
      </c>
      <c r="G15" s="8" t="inlineStr">
        <is>
          <t>中证全指房地产指数</t>
        </is>
      </c>
      <c r="H15" s="10" t="n">
        <v>82883268.2</v>
      </c>
      <c r="I15" s="11" t="n">
        <v>1</v>
      </c>
      <c r="J15" s="11" t="n"/>
      <c r="K15" s="11" t="n">
        <v>0.7</v>
      </c>
      <c r="L15" s="11" t="n">
        <v>0.3</v>
      </c>
    </row>
  </sheetData>
  <autoFilter ref="A1:L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