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动态指数池" sheetId="1" state="visible" r:id="rId1"/>
    <sheet xmlns:r="http://schemas.openxmlformats.org/officeDocument/2006/relationships" name="相关性矩阵" sheetId="2" state="visible" r:id="rId2"/>
    <sheet xmlns:r="http://schemas.openxmlformats.org/officeDocument/2006/relationships" name="聚类明细" sheetId="3" state="visible" r:id="rId3"/>
  </sheets>
  <definedNames>
    <definedName name="_xlnm._FilterDatabase" localSheetId="0" hidden="1">'动态指数池'!$A$1:$T$12</definedName>
    <definedName name="_xlnm._FilterDatabase" localSheetId="2" hidden="1">'聚类明细'!$A$1:$L$13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000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1F1F1F"/>
    </font>
    <font>
      <b val="1"/>
      <color rgb="00006100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C6E0B4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64" fontId="0" fillId="0" borderId="1" pivotButton="0" quotePrefix="0" xfId="0"/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2" fillId="3" borderId="0" pivotButton="0" quotePrefix="0" xfId="0"/>
    <xf numFmtId="165" fontId="0" fillId="0" borderId="0" applyAlignment="1" pivotButton="0" quotePrefix="0" xfId="0">
      <alignment horizontal="center" vertical="center"/>
    </xf>
    <xf numFmtId="0" fontId="0" fillId="4" borderId="1" pivotButton="0" quotePrefix="0" xfId="0"/>
    <xf numFmtId="0" fontId="3" fillId="4" borderId="1" applyAlignment="1" pivotButton="0" quotePrefix="0" xfId="0">
      <alignment horizontal="center" vertical="center"/>
    </xf>
    <xf numFmtId="4" fontId="0" fillId="4" borderId="1" pivotButton="0" quotePrefix="0" xfId="0"/>
    <xf numFmtId="165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ables/table1.xml><?xml version="1.0" encoding="utf-8"?>
<table xmlns="http://schemas.openxmlformats.org/spreadsheetml/2006/main" id="1" name="DynamicIndexPool" displayName="DynamicIndexPool" ref="A1:T12" headerRowCount="1">
  <autoFilter ref="A1:T12"/>
  <tableColumns count="20">
    <tableColumn id="1" name="日期"/>
    <tableColumn id="2" name="代码"/>
    <tableColumn id="3" name="名称"/>
    <tableColumn id="4" name="上市日期"/>
    <tableColumn id="5" name="对标指数"/>
    <tableColumn id="6" name="benchmark"/>
    <tableColumn id="7" name="管理人"/>
    <tableColumn id="8" name="托管人"/>
    <tableColumn id="9" name="类别大类"/>
    <tableColumn id="10" name="类别细类"/>
    <tableColumn id="11" name="对标指数代码"/>
    <tableColumn id="12" name="规模"/>
    <tableColumn id="13" name="成交量"/>
    <tableColumn id="14" name="成交额"/>
    <tableColumn id="15" name="收盘价"/>
    <tableColumn id="16" name="VWAP"/>
    <tableColumn id="17" name="溢价率"/>
    <tableColumn id="18" name="过去20个交易日平均成交额"/>
    <tableColumn id="19" name="聚类编号"/>
    <tableColumn id="20" name="聚类指数数量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lusterDetails" displayName="ClusterDetails" ref="A1:L13" headerRowCount="1">
  <autoFilter ref="A1:L13"/>
  <tableColumns count="12">
    <tableColumn id="1" name="聚类编号"/>
    <tableColumn id="2" name="是否最终代表"/>
    <tableColumn id="3" name="ETF代码"/>
    <tableColumn id="4" name="ETF名称"/>
    <tableColumn id="5" name="类别大类"/>
    <tableColumn id="6" name="对标指数代码"/>
    <tableColumn id="7" name="对标指数"/>
    <tableColumn id="8" name="过去20个交易日平均成交额"/>
    <tableColumn id="9" name="与代表指数相关性"/>
    <tableColumn id="10" name="聚类内最低相关性"/>
    <tableColumn id="11" name="相关性阈值"/>
    <tableColumn id="12" name="距离阈值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1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4" customWidth="1" min="3" max="3"/>
    <col width="12" customWidth="1" min="4" max="4"/>
    <col width="28" customWidth="1" min="5" max="5"/>
    <col width="34" customWidth="1" min="6" max="6"/>
    <col width="28" customWidth="1" min="7" max="7"/>
    <col width="28" customWidth="1" min="8" max="8"/>
    <col width="16" customWidth="1" min="9" max="9"/>
    <col width="18" customWidth="1" min="10" max="10"/>
    <col width="18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24" customWidth="1" min="18" max="18"/>
    <col width="16" customWidth="1" min="19" max="19"/>
    <col width="16" customWidth="1" min="20" max="20"/>
  </cols>
  <sheetData>
    <row r="1" ht="28" customHeight="1">
      <c r="A1" s="1" t="inlineStr">
        <is>
          <t>日期</t>
        </is>
      </c>
      <c r="B1" s="1" t="inlineStr">
        <is>
          <t>代码</t>
        </is>
      </c>
      <c r="C1" s="1" t="inlineStr">
        <is>
          <t>名称</t>
        </is>
      </c>
      <c r="D1" s="1" t="inlineStr">
        <is>
          <t>上市日期</t>
        </is>
      </c>
      <c r="E1" s="1" t="inlineStr">
        <is>
          <t>对标指数</t>
        </is>
      </c>
      <c r="F1" s="1" t="inlineStr">
        <is>
          <t>benchmark</t>
        </is>
      </c>
      <c r="G1" s="1" t="inlineStr">
        <is>
          <t>管理人</t>
        </is>
      </c>
      <c r="H1" s="1" t="inlineStr">
        <is>
          <t>托管人</t>
        </is>
      </c>
      <c r="I1" s="1" t="inlineStr">
        <is>
          <t>类别大类</t>
        </is>
      </c>
      <c r="J1" s="1" t="inlineStr">
        <is>
          <t>类别细类</t>
        </is>
      </c>
      <c r="K1" s="1" t="inlineStr">
        <is>
          <t>对标指数代码</t>
        </is>
      </c>
      <c r="L1" s="1" t="inlineStr">
        <is>
          <t>规模</t>
        </is>
      </c>
      <c r="M1" s="1" t="inlineStr">
        <is>
          <t>成交量</t>
        </is>
      </c>
      <c r="N1" s="1" t="inlineStr">
        <is>
          <t>成交额</t>
        </is>
      </c>
      <c r="O1" s="1" t="inlineStr">
        <is>
          <t>收盘价</t>
        </is>
      </c>
      <c r="P1" s="1" t="inlineStr">
        <is>
          <t>VWAP</t>
        </is>
      </c>
      <c r="Q1" s="1" t="inlineStr">
        <is>
          <t>溢价率</t>
        </is>
      </c>
      <c r="R1" s="1" t="inlineStr">
        <is>
          <t>过去20个交易日平均成交额</t>
        </is>
      </c>
      <c r="S1" s="1" t="inlineStr">
        <is>
          <t>聚类编号</t>
        </is>
      </c>
      <c r="T1" s="1" t="inlineStr">
        <is>
          <t>聚类指数数量</t>
        </is>
      </c>
    </row>
    <row r="2">
      <c r="A2" s="2" t="n">
        <v>44377</v>
      </c>
      <c r="B2" s="3" t="inlineStr">
        <is>
          <t>510230.SH</t>
        </is>
      </c>
      <c r="C2" s="3" t="inlineStr">
        <is>
          <t>国泰上证180金融ETF</t>
        </is>
      </c>
      <c r="D2" s="2" t="n">
        <v>40686</v>
      </c>
      <c r="E2" s="3" t="inlineStr">
        <is>
          <t>上证180金融股指数</t>
        </is>
      </c>
      <c r="F2" s="3" t="inlineStr">
        <is>
          <t>上证180金融股指数</t>
        </is>
      </c>
      <c r="G2" s="3" t="inlineStr">
        <is>
          <t>国泰基金管理有限公司</t>
        </is>
      </c>
      <c r="H2" s="3" t="inlineStr">
        <is>
          <t>中国银行股份有限公司</t>
        </is>
      </c>
      <c r="I2" s="3" t="inlineStr">
        <is>
          <t>股票型ETF</t>
        </is>
      </c>
      <c r="J2" s="3" t="inlineStr">
        <is>
          <t>行业指数ETF</t>
        </is>
      </c>
      <c r="K2" s="3" t="inlineStr">
        <is>
          <t>000018.SH</t>
        </is>
      </c>
      <c r="L2" s="4" t="n">
        <v>4565783669.733</v>
      </c>
      <c r="M2" s="4" t="n">
        <v>45594960</v>
      </c>
      <c r="N2" s="4" t="n">
        <v>51146555</v>
      </c>
      <c r="O2" s="3" t="inlineStr">
        <is>
          <t>1.0723370707779</t>
        </is>
      </c>
      <c r="P2" s="3" t="inlineStr">
        <is>
          <t>1.0692477505619</t>
        </is>
      </c>
      <c r="Q2" s="5" t="n">
        <v>0.106780566</v>
      </c>
      <c r="R2" s="4" t="n">
        <v>72105332.8</v>
      </c>
      <c r="S2" s="3" t="n">
        <v>1</v>
      </c>
      <c r="T2" s="3" t="n">
        <v>1</v>
      </c>
    </row>
    <row r="3">
      <c r="A3" s="2" t="n">
        <v>44377</v>
      </c>
      <c r="B3" s="3" t="inlineStr">
        <is>
          <t>512400.SH</t>
        </is>
      </c>
      <c r="C3" s="3" t="inlineStr">
        <is>
          <t>南方中证申万有色金属ETF</t>
        </is>
      </c>
      <c r="D3" s="2" t="n">
        <v>42979</v>
      </c>
      <c r="E3" s="3" t="inlineStr">
        <is>
          <t>中证申万有色金属指数</t>
        </is>
      </c>
      <c r="F3" s="3" t="inlineStr">
        <is>
          <t>中证申万有色金属指数</t>
        </is>
      </c>
      <c r="G3" s="3" t="inlineStr">
        <is>
          <t>南方基金管理股份有限公司</t>
        </is>
      </c>
      <c r="H3" s="3" t="inlineStr">
        <is>
          <t>中国工商银行股份有限公司</t>
        </is>
      </c>
      <c r="I3" s="3" t="inlineStr">
        <is>
          <t>股票型ETF</t>
        </is>
      </c>
      <c r="J3" s="3" t="inlineStr">
        <is>
          <t>行业指数ETF</t>
        </is>
      </c>
      <c r="K3" s="3" t="inlineStr">
        <is>
          <t>000819.SH</t>
        </is>
      </c>
      <c r="L3" s="4" t="n">
        <v>4673919001.9</v>
      </c>
      <c r="M3" s="4" t="n">
        <v>166912300</v>
      </c>
      <c r="N3" s="4" t="n">
        <v>188219418</v>
      </c>
      <c r="O3" s="3" t="inlineStr">
        <is>
          <t>1.1061664046095</t>
        </is>
      </c>
      <c r="P3" s="3" t="inlineStr">
        <is>
          <t>1.1038704443413</t>
        </is>
      </c>
      <c r="Q3" s="5" t="n">
        <v>-0.185495981</v>
      </c>
      <c r="R3" s="4" t="n">
        <v>244381779.8</v>
      </c>
      <c r="S3" s="3" t="n">
        <v>2</v>
      </c>
      <c r="T3" s="3" t="n">
        <v>1</v>
      </c>
    </row>
    <row r="4">
      <c r="A4" s="2" t="n">
        <v>44377</v>
      </c>
      <c r="B4" s="3" t="inlineStr">
        <is>
          <t>512010.SH</t>
        </is>
      </c>
      <c r="C4" s="3" t="inlineStr">
        <is>
          <t>易方达沪深300医药ETF</t>
        </is>
      </c>
      <c r="D4" s="2" t="n">
        <v>41575</v>
      </c>
      <c r="E4" s="3" t="inlineStr">
        <is>
          <t>沪深300医药卫生指数</t>
        </is>
      </c>
      <c r="F4" s="3" t="inlineStr">
        <is>
          <t>沪深300医药卫生指数</t>
        </is>
      </c>
      <c r="G4" s="3" t="inlineStr">
        <is>
          <t>易方达基金管理有限公司</t>
        </is>
      </c>
      <c r="H4" s="3" t="inlineStr">
        <is>
          <t>中国建设银行股份有限公司</t>
        </is>
      </c>
      <c r="I4" s="3" t="inlineStr">
        <is>
          <t>股票型ETF</t>
        </is>
      </c>
      <c r="J4" s="3" t="inlineStr">
        <is>
          <t>行业指数ETF</t>
        </is>
      </c>
      <c r="K4" s="3" t="inlineStr">
        <is>
          <t>000913.SH</t>
        </is>
      </c>
      <c r="L4" s="4" t="n">
        <v>2380532783.3352</v>
      </c>
      <c r="M4" s="4" t="n">
        <v>154740900</v>
      </c>
      <c r="N4" s="4" t="n">
        <v>128454706</v>
      </c>
      <c r="O4" s="3" t="inlineStr">
        <is>
          <t>0.832</t>
        </is>
      </c>
      <c r="P4" s="3" t="inlineStr">
        <is>
          <t>0.83012769086906</t>
        </is>
      </c>
      <c r="Q4" s="5" t="n">
        <v>0.156494523</v>
      </c>
      <c r="R4" s="4" t="n">
        <v>134407275.2</v>
      </c>
      <c r="S4" s="3" t="n">
        <v>3</v>
      </c>
      <c r="T4" s="3" t="n">
        <v>1</v>
      </c>
    </row>
    <row r="5">
      <c r="A5" s="2" t="n">
        <v>44377</v>
      </c>
      <c r="B5" s="3" t="inlineStr">
        <is>
          <t>159928.SZ</t>
        </is>
      </c>
      <c r="C5" s="3" t="inlineStr">
        <is>
          <t>汇添富中证主要消费ETF</t>
        </is>
      </c>
      <c r="D5" s="2" t="n">
        <v>41533</v>
      </c>
      <c r="E5" s="3" t="inlineStr">
        <is>
          <t>中证主要消费指数</t>
        </is>
      </c>
      <c r="F5" s="3" t="inlineStr">
        <is>
          <t>中证主要消费指数</t>
        </is>
      </c>
      <c r="G5" s="3" t="inlineStr">
        <is>
          <t>汇添富基金管理股份有限公司</t>
        </is>
      </c>
      <c r="H5" s="3" t="inlineStr">
        <is>
          <t>中国工商银行股份有限公司</t>
        </is>
      </c>
      <c r="I5" s="3" t="inlineStr">
        <is>
          <t>股票型ETF</t>
        </is>
      </c>
      <c r="J5" s="3" t="inlineStr">
        <is>
          <t>行业指数ETF</t>
        </is>
      </c>
      <c r="K5" s="3" t="inlineStr">
        <is>
          <t>000932.SH</t>
        </is>
      </c>
      <c r="L5" s="4" t="n">
        <v>8488826253.304</v>
      </c>
      <c r="M5" s="4" t="n">
        <v>61995700</v>
      </c>
      <c r="N5" s="4" t="n">
        <v>78205239</v>
      </c>
      <c r="O5" s="3" t="inlineStr">
        <is>
          <t>1.261</t>
        </is>
      </c>
      <c r="P5" s="3" t="inlineStr">
        <is>
          <t>1.2614623110958</t>
        </is>
      </c>
      <c r="Q5" s="5" t="n">
        <v>0.071422903</v>
      </c>
      <c r="R5" s="4" t="n">
        <v>107081260.041</v>
      </c>
      <c r="S5" s="3" t="n">
        <v>4</v>
      </c>
      <c r="T5" s="3" t="n">
        <v>1</v>
      </c>
    </row>
    <row r="6">
      <c r="A6" s="2" t="n">
        <v>44377</v>
      </c>
      <c r="B6" s="3" t="inlineStr">
        <is>
          <t>159939.SZ</t>
        </is>
      </c>
      <c r="C6" s="3" t="inlineStr">
        <is>
          <t>广发中证全指信息技术ETF</t>
        </is>
      </c>
      <c r="D6" s="2" t="n">
        <v>42040</v>
      </c>
      <c r="E6" s="3" t="inlineStr">
        <is>
          <t>中证全指信息技术指数</t>
        </is>
      </c>
      <c r="F6" s="3" t="inlineStr">
        <is>
          <t>中证全指信息技术指数</t>
        </is>
      </c>
      <c r="G6" s="3" t="inlineStr">
        <is>
          <t>广发基金管理有限公司</t>
        </is>
      </c>
      <c r="H6" s="3" t="inlineStr">
        <is>
          <t>中国银行股份有限公司</t>
        </is>
      </c>
      <c r="I6" s="3" t="inlineStr">
        <is>
          <t>股票型ETF</t>
        </is>
      </c>
      <c r="J6" s="3" t="inlineStr">
        <is>
          <t>行业指数ETF</t>
        </is>
      </c>
      <c r="K6" s="3" t="inlineStr">
        <is>
          <t>000993.SH</t>
        </is>
      </c>
      <c r="L6" s="4" t="n">
        <v>1859380088.1117</v>
      </c>
      <c r="M6" s="4" t="n">
        <v>18742150</v>
      </c>
      <c r="N6" s="4" t="n">
        <v>27776422.4</v>
      </c>
      <c r="O6" s="3" t="inlineStr">
        <is>
          <t>0.7435</t>
        </is>
      </c>
      <c r="P6" s="3" t="inlineStr">
        <is>
          <t>0.74101483554448</t>
        </is>
      </c>
      <c r="Q6" s="5" t="n">
        <v>-0.127610988</v>
      </c>
      <c r="R6" s="4" t="n">
        <v>28866571.5485</v>
      </c>
      <c r="S6" s="3" t="n">
        <v>5</v>
      </c>
      <c r="T6" s="3" t="n">
        <v>1</v>
      </c>
    </row>
    <row r="7">
      <c r="A7" s="2" t="n">
        <v>44377</v>
      </c>
      <c r="B7" s="3" t="inlineStr">
        <is>
          <t>512880.SH</t>
        </is>
      </c>
      <c r="C7" s="3" t="inlineStr">
        <is>
          <t>国泰中证全指证券公司ETF</t>
        </is>
      </c>
      <c r="D7" s="2" t="n">
        <v>42590</v>
      </c>
      <c r="E7" s="3" t="inlineStr">
        <is>
          <t>中证全指证券公司指数</t>
        </is>
      </c>
      <c r="F7" s="3" t="inlineStr">
        <is>
          <t>中证全指证券公司指数收益率</t>
        </is>
      </c>
      <c r="G7" s="3" t="inlineStr">
        <is>
          <t>国泰基金管理有限公司</t>
        </is>
      </c>
      <c r="H7" s="3" t="inlineStr">
        <is>
          <t>中国建设银行股份有限公司</t>
        </is>
      </c>
      <c r="I7" s="3" t="inlineStr">
        <is>
          <t>股票型ETF</t>
        </is>
      </c>
      <c r="J7" s="3" t="inlineStr">
        <is>
          <t>行业指数ETF</t>
        </is>
      </c>
      <c r="K7" s="3" t="inlineStr">
        <is>
          <t>399975.SZ</t>
        </is>
      </c>
      <c r="L7" s="4" t="n">
        <v>32049078395.242</v>
      </c>
      <c r="M7" s="4" t="n">
        <v>1386706030</v>
      </c>
      <c r="N7" s="4" t="n">
        <v>1529390794</v>
      </c>
      <c r="O7" s="3" t="inlineStr">
        <is>
          <t>1.109</t>
        </is>
      </c>
      <c r="P7" s="3" t="inlineStr">
        <is>
          <t>1.102894745471</t>
        </is>
      </c>
      <c r="Q7" s="5" t="n">
        <v>0.018037518</v>
      </c>
      <c r="R7" s="4" t="n">
        <v>1535879238.85</v>
      </c>
      <c r="S7" s="3" t="n">
        <v>6</v>
      </c>
      <c r="T7" s="3" t="n">
        <v>2</v>
      </c>
    </row>
    <row r="8">
      <c r="A8" s="2" t="n">
        <v>44377</v>
      </c>
      <c r="B8" s="3" t="inlineStr">
        <is>
          <t>512800.SH</t>
        </is>
      </c>
      <c r="C8" s="3" t="inlineStr">
        <is>
          <t>华宝中证银行ETF</t>
        </is>
      </c>
      <c r="D8" s="2" t="n">
        <v>42950</v>
      </c>
      <c r="E8" s="3" t="inlineStr">
        <is>
          <t>中证银行指数</t>
        </is>
      </c>
      <c r="F8" s="3" t="inlineStr">
        <is>
          <t>中证银行指数</t>
        </is>
      </c>
      <c r="G8" s="3" t="inlineStr">
        <is>
          <t>华宝基金管理有限公司</t>
        </is>
      </c>
      <c r="H8" s="3" t="inlineStr">
        <is>
          <t>中国银行股份有限公司</t>
        </is>
      </c>
      <c r="I8" s="3" t="inlineStr">
        <is>
          <t>股票型ETF</t>
        </is>
      </c>
      <c r="J8" s="3" t="inlineStr">
        <is>
          <t>行业指数ETF</t>
        </is>
      </c>
      <c r="K8" s="3" t="inlineStr">
        <is>
          <t>399986.SZ</t>
        </is>
      </c>
      <c r="L8" s="4" t="n">
        <v>8264951202.237</v>
      </c>
      <c r="M8" s="4" t="n">
        <v>192197996</v>
      </c>
      <c r="N8" s="4" t="n">
        <v>236090733</v>
      </c>
      <c r="O8" s="3" t="inlineStr">
        <is>
          <t>0.6153460889139</t>
        </is>
      </c>
      <c r="P8" s="3" t="inlineStr">
        <is>
          <t>0.61453188139172</t>
        </is>
      </c>
      <c r="Q8" s="5" t="n">
        <v>0.081366965</v>
      </c>
      <c r="R8" s="4" t="n">
        <v>288104243.95</v>
      </c>
      <c r="S8" s="3" t="n">
        <v>7</v>
      </c>
      <c r="T8" s="3" t="n">
        <v>1</v>
      </c>
    </row>
    <row r="9">
      <c r="A9" s="2" t="n">
        <v>44377</v>
      </c>
      <c r="B9" s="3" t="inlineStr">
        <is>
          <t>515220.SH</t>
        </is>
      </c>
      <c r="C9" s="3" t="inlineStr">
        <is>
          <t>国泰中证煤炭ETF</t>
        </is>
      </c>
      <c r="D9" s="2" t="n">
        <v>43892</v>
      </c>
      <c r="E9" s="3" t="inlineStr">
        <is>
          <t>中证煤炭指数</t>
        </is>
      </c>
      <c r="F9" s="3" t="inlineStr">
        <is>
          <t>中证煤炭指数收益率</t>
        </is>
      </c>
      <c r="G9" s="3" t="inlineStr">
        <is>
          <t>国泰基金管理有限公司</t>
        </is>
      </c>
      <c r="H9" s="3" t="inlineStr">
        <is>
          <t>中国工商银行股份有限公司</t>
        </is>
      </c>
      <c r="I9" s="3" t="inlineStr">
        <is>
          <t>股票型ETF</t>
        </is>
      </c>
      <c r="J9" s="3" t="inlineStr">
        <is>
          <t>行业指数ETF</t>
        </is>
      </c>
      <c r="K9" s="3" t="inlineStr">
        <is>
          <t>399998.SZ</t>
        </is>
      </c>
      <c r="L9" s="4" t="n">
        <v>933861224.3142</v>
      </c>
      <c r="M9" s="4" t="n">
        <v>68377500</v>
      </c>
      <c r="N9" s="4" t="n">
        <v>111706211</v>
      </c>
      <c r="O9" s="3" t="inlineStr">
        <is>
          <t>0.69923470568999</t>
        </is>
      </c>
      <c r="P9" s="3" t="inlineStr">
        <is>
          <t>0.69866553758958</t>
        </is>
      </c>
      <c r="Q9" s="5" t="n">
        <v>0.073448402</v>
      </c>
      <c r="R9" s="4" t="n">
        <v>140922185.95</v>
      </c>
      <c r="S9" s="3" t="n">
        <v>8</v>
      </c>
      <c r="T9" s="3" t="n">
        <v>1</v>
      </c>
    </row>
    <row r="10">
      <c r="A10" s="2" t="n">
        <v>44377</v>
      </c>
      <c r="B10" s="3" t="inlineStr">
        <is>
          <t>515210.SH</t>
        </is>
      </c>
      <c r="C10" s="3" t="inlineStr">
        <is>
          <t>国泰中证钢铁ETF</t>
        </is>
      </c>
      <c r="D10" s="2" t="n">
        <v>43892</v>
      </c>
      <c r="E10" s="3" t="inlineStr">
        <is>
          <t>中证钢铁指数</t>
        </is>
      </c>
      <c r="F10" s="3" t="inlineStr">
        <is>
          <t>中证钢铁指数收益率</t>
        </is>
      </c>
      <c r="G10" s="3" t="inlineStr">
        <is>
          <t>国泰基金管理有限公司</t>
        </is>
      </c>
      <c r="H10" s="3" t="inlineStr">
        <is>
          <t>招商银行股份有限公司</t>
        </is>
      </c>
      <c r="I10" s="3" t="inlineStr">
        <is>
          <t>股票型ETF</t>
        </is>
      </c>
      <c r="J10" s="3" t="inlineStr">
        <is>
          <t>行业指数ETF</t>
        </is>
      </c>
      <c r="K10" s="3" t="inlineStr">
        <is>
          <t>930606.CSI</t>
        </is>
      </c>
      <c r="L10" s="4" t="n">
        <v>1095568502.391</v>
      </c>
      <c r="M10" s="4" t="n">
        <v>40953240</v>
      </c>
      <c r="N10" s="4" t="n">
        <v>63520431</v>
      </c>
      <c r="O10" s="3" t="inlineStr">
        <is>
          <t>1.3148744301187</t>
        </is>
      </c>
      <c r="P10" s="3" t="inlineStr">
        <is>
          <t>1.3174632003639</t>
        </is>
      </c>
      <c r="Q10" s="5" t="n">
        <v>-0.212724811</v>
      </c>
      <c r="R10" s="4" t="n">
        <v>110383915.8</v>
      </c>
      <c r="S10" s="3" t="n">
        <v>9</v>
      </c>
      <c r="T10" s="3" t="n">
        <v>1</v>
      </c>
    </row>
    <row r="11">
      <c r="A11" s="2" t="n">
        <v>44377</v>
      </c>
      <c r="B11" s="3" t="inlineStr">
        <is>
          <t>159996.SZ</t>
        </is>
      </c>
      <c r="C11" s="3" t="inlineStr">
        <is>
          <t>国泰中证全指家用电器ETF</t>
        </is>
      </c>
      <c r="D11" s="2" t="n">
        <v>43906</v>
      </c>
      <c r="E11" s="3" t="inlineStr">
        <is>
          <t>中证全指家用电器指数</t>
        </is>
      </c>
      <c r="F11" s="3" t="inlineStr">
        <is>
          <t>中证全指家用电器指数收益率</t>
        </is>
      </c>
      <c r="G11" s="3" t="inlineStr">
        <is>
          <t>国泰基金管理有限公司</t>
        </is>
      </c>
      <c r="H11" s="3" t="inlineStr">
        <is>
          <t>上海浦东发展银行股份有限公司</t>
        </is>
      </c>
      <c r="I11" s="3" t="inlineStr">
        <is>
          <t>股票型ETF</t>
        </is>
      </c>
      <c r="J11" s="3" t="inlineStr">
        <is>
          <t>行业指数ETF</t>
        </is>
      </c>
      <c r="K11" s="3" t="inlineStr">
        <is>
          <t>930697.CSI</t>
        </is>
      </c>
      <c r="L11" s="4" t="n">
        <v>534752545.2194</v>
      </c>
      <c r="M11" s="4" t="n">
        <v>27975800</v>
      </c>
      <c r="N11" s="4" t="n">
        <v>39563967</v>
      </c>
      <c r="O11" s="3" t="inlineStr">
        <is>
          <t>1.425</t>
        </is>
      </c>
      <c r="P11" s="3" t="inlineStr">
        <is>
          <t>1.414221112533</t>
        </is>
      </c>
      <c r="Q11" s="5" t="n">
        <v>0.077252616</v>
      </c>
      <c r="R11" s="4" t="n">
        <v>54862232.252</v>
      </c>
      <c r="S11" s="3" t="n">
        <v>10</v>
      </c>
      <c r="T11" s="3" t="n">
        <v>1</v>
      </c>
    </row>
    <row r="12">
      <c r="A12" s="2" t="n">
        <v>44377</v>
      </c>
      <c r="B12" s="3" t="inlineStr">
        <is>
          <t>512200.SH</t>
        </is>
      </c>
      <c r="C12" s="3" t="inlineStr">
        <is>
          <t>南方中证全指房地产ETF</t>
        </is>
      </c>
      <c r="D12" s="2" t="n">
        <v>43003</v>
      </c>
      <c r="E12" s="3" t="inlineStr">
        <is>
          <t>中证全指房地产指数</t>
        </is>
      </c>
      <c r="F12" s="3" t="inlineStr">
        <is>
          <t>中证全指房地产指数收益率</t>
        </is>
      </c>
      <c r="G12" s="3" t="inlineStr">
        <is>
          <t>南方基金管理股份有限公司</t>
        </is>
      </c>
      <c r="H12" s="3" t="inlineStr">
        <is>
          <t>中国工商银行股份有限公司</t>
        </is>
      </c>
      <c r="I12" s="3" t="inlineStr">
        <is>
          <t>股票型ETF</t>
        </is>
      </c>
      <c r="J12" s="3" t="inlineStr">
        <is>
          <t>行业指数ETF</t>
        </is>
      </c>
      <c r="K12" s="3" t="inlineStr">
        <is>
          <t>931775.CSI</t>
        </is>
      </c>
      <c r="L12" s="4" t="n">
        <v>1737351008.4</v>
      </c>
      <c r="M12" s="4" t="n">
        <v>85911100</v>
      </c>
      <c r="N12" s="4" t="n">
        <v>68452881</v>
      </c>
      <c r="O12" s="3" t="inlineStr">
        <is>
          <t>2.2290534</t>
        </is>
      </c>
      <c r="P12" s="3" t="inlineStr">
        <is>
          <t>2.2256662119016</t>
        </is>
      </c>
      <c r="Q12" s="5" t="n">
        <v>0.263852243</v>
      </c>
      <c r="R12" s="4" t="n">
        <v>54447266.7</v>
      </c>
      <c r="S12" s="3" t="n">
        <v>11</v>
      </c>
      <c r="T12" s="3" t="n">
        <v>1</v>
      </c>
    </row>
  </sheetData>
  <autoFilter ref="A1:T12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3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3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</cols>
  <sheetData>
    <row r="1" ht="42" customHeight="1">
      <c r="A1" s="1" t="inlineStr">
        <is>
          <t>对标指数代码</t>
        </is>
      </c>
      <c r="B1" s="1" t="inlineStr">
        <is>
          <t>对标指数</t>
        </is>
      </c>
      <c r="C1" s="1" t="inlineStr">
        <is>
          <t>000018.SH</t>
        </is>
      </c>
      <c r="D1" s="1" t="inlineStr">
        <is>
          <t>000819.SH</t>
        </is>
      </c>
      <c r="E1" s="1" t="inlineStr">
        <is>
          <t>000913.SH</t>
        </is>
      </c>
      <c r="F1" s="1" t="inlineStr">
        <is>
          <t>000932.SH</t>
        </is>
      </c>
      <c r="G1" s="1" t="inlineStr">
        <is>
          <t>000993.SH</t>
        </is>
      </c>
      <c r="H1" s="1" t="inlineStr">
        <is>
          <t>399437.SZ</t>
        </is>
      </c>
      <c r="I1" s="1" t="inlineStr">
        <is>
          <t>399975.SZ</t>
        </is>
      </c>
      <c r="J1" s="1" t="inlineStr">
        <is>
          <t>399986.SZ</t>
        </is>
      </c>
      <c r="K1" s="1" t="inlineStr">
        <is>
          <t>399998.SZ</t>
        </is>
      </c>
      <c r="L1" s="1" t="inlineStr">
        <is>
          <t>930606.CSI</t>
        </is>
      </c>
      <c r="M1" s="1" t="inlineStr">
        <is>
          <t>930697.CSI</t>
        </is>
      </c>
      <c r="N1" s="1" t="inlineStr">
        <is>
          <t>931775.CSI</t>
        </is>
      </c>
    </row>
    <row r="2">
      <c r="A2" s="6" t="inlineStr">
        <is>
          <t>000018.SH</t>
        </is>
      </c>
      <c r="B2" s="6" t="inlineStr">
        <is>
          <t>上证180金融股指数</t>
        </is>
      </c>
      <c r="C2" s="7" t="n">
        <v>1</v>
      </c>
      <c r="D2" s="7" t="n">
        <v>0.1182676882617728</v>
      </c>
      <c r="E2" s="7" t="n">
        <v>0.2713743264367068</v>
      </c>
      <c r="F2" s="7" t="n">
        <v>0.4806957991336882</v>
      </c>
      <c r="G2" s="7" t="n">
        <v>0.2572329284376643</v>
      </c>
      <c r="H2" s="7" t="n">
        <v>0.8245646310031663</v>
      </c>
      <c r="I2" s="7" t="n">
        <v>0.8290232699751624</v>
      </c>
      <c r="J2" s="7" t="n">
        <v>0.8921926228746804</v>
      </c>
      <c r="K2" s="7" t="n">
        <v>0.0715988906272127</v>
      </c>
      <c r="L2" s="7" t="n">
        <v>-0.02324096813613866</v>
      </c>
      <c r="M2" s="7" t="n">
        <v>0.4692048264107289</v>
      </c>
      <c r="N2" s="7" t="n">
        <v>0.4592376233203101</v>
      </c>
    </row>
    <row r="3">
      <c r="A3" s="6" t="inlineStr">
        <is>
          <t>000819.SH</t>
        </is>
      </c>
      <c r="B3" s="6" t="inlineStr">
        <is>
          <t>中证申万有色金属指数</t>
        </is>
      </c>
      <c r="C3" s="7" t="n">
        <v>0.1182676882617728</v>
      </c>
      <c r="D3" s="7" t="n">
        <v>1</v>
      </c>
      <c r="E3" s="7" t="n">
        <v>0.2666914335192255</v>
      </c>
      <c r="F3" s="7" t="n">
        <v>0.0234330767888197</v>
      </c>
      <c r="G3" s="7" t="n">
        <v>0.2707421595145853</v>
      </c>
      <c r="H3" s="7" t="n">
        <v>0.1864181587135995</v>
      </c>
      <c r="I3" s="7" t="n">
        <v>0.1791987161084986</v>
      </c>
      <c r="J3" s="7" t="n">
        <v>0.1071120598061473</v>
      </c>
      <c r="K3" s="7" t="n">
        <v>0.5604559476322467</v>
      </c>
      <c r="L3" s="7" t="n">
        <v>0.5937989125714273</v>
      </c>
      <c r="M3" s="7" t="n">
        <v>0.2736457821459211</v>
      </c>
      <c r="N3" s="7" t="n">
        <v>-0.04207130082140745</v>
      </c>
    </row>
    <row r="4">
      <c r="A4" s="6" t="inlineStr">
        <is>
          <t>000913.SH</t>
        </is>
      </c>
      <c r="B4" s="6" t="inlineStr">
        <is>
          <t>沪深300医药卫生指数</t>
        </is>
      </c>
      <c r="C4" s="7" t="n">
        <v>0.2713743264367068</v>
      </c>
      <c r="D4" s="7" t="n">
        <v>0.2666914335192255</v>
      </c>
      <c r="E4" s="7" t="n">
        <v>1</v>
      </c>
      <c r="F4" s="7" t="n">
        <v>0.6682486048340864</v>
      </c>
      <c r="G4" s="7" t="n">
        <v>0.52890699699197</v>
      </c>
      <c r="H4" s="7" t="n">
        <v>0.3963923669053743</v>
      </c>
      <c r="I4" s="7" t="n">
        <v>0.4016496512485564</v>
      </c>
      <c r="J4" s="7" t="n">
        <v>0.1789164805017387</v>
      </c>
      <c r="K4" s="7" t="n">
        <v>-0.1627309591906108</v>
      </c>
      <c r="L4" s="7" t="n">
        <v>-0.1026735402581833</v>
      </c>
      <c r="M4" s="7" t="n">
        <v>0.5036322757338885</v>
      </c>
      <c r="N4" s="7" t="n">
        <v>0.02948873543527804</v>
      </c>
    </row>
    <row r="5">
      <c r="A5" s="6" t="inlineStr">
        <is>
          <t>000932.SH</t>
        </is>
      </c>
      <c r="B5" s="6" t="inlineStr">
        <is>
          <t>中证主要消费指数</t>
        </is>
      </c>
      <c r="C5" s="7" t="n">
        <v>0.4806957991336882</v>
      </c>
      <c r="D5" s="7" t="n">
        <v>0.0234330767888197</v>
      </c>
      <c r="E5" s="7" t="n">
        <v>0.6682486048340864</v>
      </c>
      <c r="F5" s="7" t="n">
        <v>1</v>
      </c>
      <c r="G5" s="7" t="n">
        <v>0.4846513318427516</v>
      </c>
      <c r="H5" s="7" t="n">
        <v>0.4996709124406257</v>
      </c>
      <c r="I5" s="7" t="n">
        <v>0.5031031259051653</v>
      </c>
      <c r="J5" s="7" t="n">
        <v>0.3814319318600152</v>
      </c>
      <c r="K5" s="7" t="n">
        <v>-0.2317012215478821</v>
      </c>
      <c r="L5" s="7" t="n">
        <v>-0.2761898877683141</v>
      </c>
      <c r="M5" s="7" t="n">
        <v>0.547363692559202</v>
      </c>
      <c r="N5" s="7" t="n">
        <v>0.2027531323632057</v>
      </c>
    </row>
    <row r="6">
      <c r="A6" s="6" t="inlineStr">
        <is>
          <t>000993.SH</t>
        </is>
      </c>
      <c r="B6" s="6" t="inlineStr">
        <is>
          <t>中证全指信息技术指数</t>
        </is>
      </c>
      <c r="C6" s="7" t="n">
        <v>0.2572329284376643</v>
      </c>
      <c r="D6" s="7" t="n">
        <v>0.2707421595145853</v>
      </c>
      <c r="E6" s="7" t="n">
        <v>0.52890699699197</v>
      </c>
      <c r="F6" s="7" t="n">
        <v>0.4846513318427516</v>
      </c>
      <c r="G6" s="7" t="n">
        <v>1</v>
      </c>
      <c r="H6" s="7" t="n">
        <v>0.5536160926414019</v>
      </c>
      <c r="I6" s="7" t="n">
        <v>0.5530909214694084</v>
      </c>
      <c r="J6" s="7" t="n">
        <v>0.05492508245481834</v>
      </c>
      <c r="K6" s="7" t="n">
        <v>-0.04073825790346872</v>
      </c>
      <c r="L6" s="7" t="n">
        <v>-0.08225556650514475</v>
      </c>
      <c r="M6" s="7" t="n">
        <v>0.4841535400400735</v>
      </c>
      <c r="N6" s="7" t="n">
        <v>0.1971415906084282</v>
      </c>
    </row>
    <row r="7">
      <c r="A7" s="6" t="inlineStr">
        <is>
          <t>399437.SZ</t>
        </is>
      </c>
      <c r="B7" s="6" t="inlineStr">
        <is>
          <t>国证证券龙头指数</t>
        </is>
      </c>
      <c r="C7" s="7" t="n">
        <v>0.8245646310031663</v>
      </c>
      <c r="D7" s="7" t="n">
        <v>0.1864181587135995</v>
      </c>
      <c r="E7" s="7" t="n">
        <v>0.3963923669053743</v>
      </c>
      <c r="F7" s="7" t="n">
        <v>0.4996709124406257</v>
      </c>
      <c r="G7" s="7" t="n">
        <v>0.5536160926414019</v>
      </c>
      <c r="H7" s="7" t="n">
        <v>1</v>
      </c>
      <c r="I7" s="7" t="n">
        <v>0.9984892454028241</v>
      </c>
      <c r="J7" s="7" t="n">
        <v>0.5313350933943943</v>
      </c>
      <c r="K7" s="7" t="n">
        <v>-0.0653711215850484</v>
      </c>
      <c r="L7" s="7" t="n">
        <v>-0.05785761636346645</v>
      </c>
      <c r="M7" s="7" t="n">
        <v>0.49118153359496</v>
      </c>
      <c r="N7" s="7" t="n">
        <v>0.4409923402828104</v>
      </c>
    </row>
    <row r="8">
      <c r="A8" s="6" t="inlineStr">
        <is>
          <t>399975.SZ</t>
        </is>
      </c>
      <c r="B8" s="6" t="inlineStr">
        <is>
          <t>中证全指证券公司指数</t>
        </is>
      </c>
      <c r="C8" s="7" t="n">
        <v>0.8290232699751624</v>
      </c>
      <c r="D8" s="7" t="n">
        <v>0.1791987161084986</v>
      </c>
      <c r="E8" s="7" t="n">
        <v>0.4016496512485564</v>
      </c>
      <c r="F8" s="7" t="n">
        <v>0.5031031259051653</v>
      </c>
      <c r="G8" s="7" t="n">
        <v>0.5530909214694084</v>
      </c>
      <c r="H8" s="7" t="n">
        <v>0.9984892454028241</v>
      </c>
      <c r="I8" s="7" t="n">
        <v>1</v>
      </c>
      <c r="J8" s="7" t="n">
        <v>0.5350650197534368</v>
      </c>
      <c r="K8" s="7" t="n">
        <v>-0.07059126847758994</v>
      </c>
      <c r="L8" s="7" t="n">
        <v>-0.05886398920227114</v>
      </c>
      <c r="M8" s="7" t="n">
        <v>0.4994387548549558</v>
      </c>
      <c r="N8" s="7" t="n">
        <v>0.4478325172587224</v>
      </c>
    </row>
    <row r="9">
      <c r="A9" s="6" t="inlineStr">
        <is>
          <t>399986.SZ</t>
        </is>
      </c>
      <c r="B9" s="6" t="inlineStr">
        <is>
          <t>中证银行指数</t>
        </is>
      </c>
      <c r="C9" s="7" t="n">
        <v>0.8921926228746804</v>
      </c>
      <c r="D9" s="7" t="n">
        <v>0.1071120598061473</v>
      </c>
      <c r="E9" s="7" t="n">
        <v>0.1789164805017387</v>
      </c>
      <c r="F9" s="7" t="n">
        <v>0.3814319318600152</v>
      </c>
      <c r="G9" s="7" t="n">
        <v>0.05492508245481834</v>
      </c>
      <c r="H9" s="7" t="n">
        <v>0.5313350933943943</v>
      </c>
      <c r="I9" s="7" t="n">
        <v>0.5350650197534368</v>
      </c>
      <c r="J9" s="7" t="n">
        <v>1</v>
      </c>
      <c r="K9" s="7" t="n">
        <v>0.1845959319214657</v>
      </c>
      <c r="L9" s="7" t="n">
        <v>0.006746643038606167</v>
      </c>
      <c r="M9" s="7" t="n">
        <v>0.3677689282283466</v>
      </c>
      <c r="N9" s="7" t="n">
        <v>0.3262251088443253</v>
      </c>
    </row>
    <row r="10">
      <c r="A10" s="6" t="inlineStr">
        <is>
          <t>399998.SZ</t>
        </is>
      </c>
      <c r="B10" s="6" t="inlineStr">
        <is>
          <t>中证煤炭指数</t>
        </is>
      </c>
      <c r="C10" s="7" t="n">
        <v>0.0715988906272127</v>
      </c>
      <c r="D10" s="7" t="n">
        <v>0.5604559476322467</v>
      </c>
      <c r="E10" s="7" t="n">
        <v>-0.1627309591906108</v>
      </c>
      <c r="F10" s="7" t="n">
        <v>-0.2317012215478821</v>
      </c>
      <c r="G10" s="7" t="n">
        <v>-0.04073825790346872</v>
      </c>
      <c r="H10" s="7" t="n">
        <v>-0.0653711215850484</v>
      </c>
      <c r="I10" s="7" t="n">
        <v>-0.07059126847758994</v>
      </c>
      <c r="J10" s="7" t="n">
        <v>0.1845959319214657</v>
      </c>
      <c r="K10" s="7" t="n">
        <v>1</v>
      </c>
      <c r="L10" s="7" t="n">
        <v>0.6833859298873636</v>
      </c>
      <c r="M10" s="7" t="n">
        <v>0.08944696988381193</v>
      </c>
      <c r="N10" s="7" t="n">
        <v>0.08879987731666467</v>
      </c>
    </row>
    <row r="11">
      <c r="A11" s="6" t="inlineStr">
        <is>
          <t>930606.CSI</t>
        </is>
      </c>
      <c r="B11" s="6" t="inlineStr">
        <is>
          <t>中证钢铁指数</t>
        </is>
      </c>
      <c r="C11" s="7" t="n">
        <v>-0.02324096813613866</v>
      </c>
      <c r="D11" s="7" t="n">
        <v>0.5937989125714273</v>
      </c>
      <c r="E11" s="7" t="n">
        <v>-0.1026735402581833</v>
      </c>
      <c r="F11" s="7" t="n">
        <v>-0.2761898877683141</v>
      </c>
      <c r="G11" s="7" t="n">
        <v>-0.08225556650514475</v>
      </c>
      <c r="H11" s="7" t="n">
        <v>-0.05785761636346645</v>
      </c>
      <c r="I11" s="7" t="n">
        <v>-0.05886398920227114</v>
      </c>
      <c r="J11" s="7" t="n">
        <v>0.006746643038606167</v>
      </c>
      <c r="K11" s="7" t="n">
        <v>0.6833859298873636</v>
      </c>
      <c r="L11" s="7" t="n">
        <v>1</v>
      </c>
      <c r="M11" s="7" t="n">
        <v>0.05358697312804572</v>
      </c>
      <c r="N11" s="7" t="n">
        <v>0.01974390786506225</v>
      </c>
    </row>
    <row r="12">
      <c r="A12" s="6" t="inlineStr">
        <is>
          <t>930697.CSI</t>
        </is>
      </c>
      <c r="B12" s="6" t="inlineStr">
        <is>
          <t>中证全指家用电器指数</t>
        </is>
      </c>
      <c r="C12" s="7" t="n">
        <v>0.4692048264107289</v>
      </c>
      <c r="D12" s="7" t="n">
        <v>0.2736457821459211</v>
      </c>
      <c r="E12" s="7" t="n">
        <v>0.5036322757338885</v>
      </c>
      <c r="F12" s="7" t="n">
        <v>0.547363692559202</v>
      </c>
      <c r="G12" s="7" t="n">
        <v>0.4841535400400735</v>
      </c>
      <c r="H12" s="7" t="n">
        <v>0.49118153359496</v>
      </c>
      <c r="I12" s="7" t="n">
        <v>0.4994387548549558</v>
      </c>
      <c r="J12" s="7" t="n">
        <v>0.3677689282283466</v>
      </c>
      <c r="K12" s="7" t="n">
        <v>0.08944696988381193</v>
      </c>
      <c r="L12" s="7" t="n">
        <v>0.05358697312804572</v>
      </c>
      <c r="M12" s="7" t="n">
        <v>1</v>
      </c>
      <c r="N12" s="7" t="n">
        <v>0.3184162713210187</v>
      </c>
    </row>
    <row r="13">
      <c r="A13" s="6" t="inlineStr">
        <is>
          <t>931775.CSI</t>
        </is>
      </c>
      <c r="B13" s="6" t="inlineStr">
        <is>
          <t>中证全指房地产指数</t>
        </is>
      </c>
      <c r="C13" s="7" t="n">
        <v>0.4592376233203101</v>
      </c>
      <c r="D13" s="7" t="n">
        <v>-0.04207130082140745</v>
      </c>
      <c r="E13" s="7" t="n">
        <v>0.02948873543527804</v>
      </c>
      <c r="F13" s="7" t="n">
        <v>0.2027531323632057</v>
      </c>
      <c r="G13" s="7" t="n">
        <v>0.1971415906084282</v>
      </c>
      <c r="H13" s="7" t="n">
        <v>0.4409923402828104</v>
      </c>
      <c r="I13" s="7" t="n">
        <v>0.4478325172587224</v>
      </c>
      <c r="J13" s="7" t="n">
        <v>0.3262251088443253</v>
      </c>
      <c r="K13" s="7" t="n">
        <v>0.08879987731666467</v>
      </c>
      <c r="L13" s="7" t="n">
        <v>0.01974390786506225</v>
      </c>
      <c r="M13" s="7" t="n">
        <v>0.3184162713210187</v>
      </c>
      <c r="N13" s="7" t="n">
        <v>1</v>
      </c>
    </row>
  </sheetData>
  <conditionalFormatting sqref="C2:N13">
    <cfRule type="colorScale" priority="1">
      <colorScale>
        <cfvo type="min"/>
        <cfvo type="num" val="0.8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26" customWidth="1" min="4" max="4"/>
    <col width="16" customWidth="1" min="5" max="5"/>
    <col width="18" customWidth="1" min="6" max="6"/>
    <col width="28" customWidth="1" min="7" max="7"/>
    <col width="24" customWidth="1" min="8" max="8"/>
    <col width="20" customWidth="1" min="9" max="9"/>
    <col width="20" customWidth="1" min="10" max="10"/>
    <col width="16" customWidth="1" min="11" max="11"/>
    <col width="14" customWidth="1" min="12" max="12"/>
  </cols>
  <sheetData>
    <row r="1" ht="32" customHeight="1">
      <c r="A1" s="1" t="inlineStr">
        <is>
          <t>聚类编号</t>
        </is>
      </c>
      <c r="B1" s="1" t="inlineStr">
        <is>
          <t>是否最终代表</t>
        </is>
      </c>
      <c r="C1" s="1" t="inlineStr">
        <is>
          <t>ETF代码</t>
        </is>
      </c>
      <c r="D1" s="1" t="inlineStr">
        <is>
          <t>ETF名称</t>
        </is>
      </c>
      <c r="E1" s="1" t="inlineStr">
        <is>
          <t>类别大类</t>
        </is>
      </c>
      <c r="F1" s="1" t="inlineStr">
        <is>
          <t>对标指数代码</t>
        </is>
      </c>
      <c r="G1" s="1" t="inlineStr">
        <is>
          <t>对标指数</t>
        </is>
      </c>
      <c r="H1" s="1" t="inlineStr">
        <is>
          <t>过去20个交易日平均成交额</t>
        </is>
      </c>
      <c r="I1" s="1" t="inlineStr">
        <is>
          <t>与代表指数相关性</t>
        </is>
      </c>
      <c r="J1" s="1" t="inlineStr">
        <is>
          <t>聚类内最低相关性</t>
        </is>
      </c>
      <c r="K1" s="1" t="inlineStr">
        <is>
          <t>相关性阈值</t>
        </is>
      </c>
      <c r="L1" s="1" t="inlineStr">
        <is>
          <t>距离阈值</t>
        </is>
      </c>
    </row>
    <row r="2">
      <c r="A2" s="8" t="n">
        <v>1</v>
      </c>
      <c r="B2" s="9" t="inlineStr">
        <is>
          <t>是</t>
        </is>
      </c>
      <c r="C2" s="8" t="inlineStr">
        <is>
          <t>510230.SH</t>
        </is>
      </c>
      <c r="D2" s="8" t="inlineStr">
        <is>
          <t>国泰上证180金融ETF</t>
        </is>
      </c>
      <c r="E2" s="8" t="inlineStr">
        <is>
          <t>股票型ETF</t>
        </is>
      </c>
      <c r="F2" s="8" t="inlineStr">
        <is>
          <t>000018.SH</t>
        </is>
      </c>
      <c r="G2" s="8" t="inlineStr">
        <is>
          <t>上证180金融股指数</t>
        </is>
      </c>
      <c r="H2" s="10" t="n">
        <v>72105332.8</v>
      </c>
      <c r="I2" s="11" t="n">
        <v>1</v>
      </c>
      <c r="J2" s="11" t="n"/>
      <c r="K2" s="11" t="n">
        <v>0.9</v>
      </c>
      <c r="L2" s="11" t="n">
        <v>0.1</v>
      </c>
    </row>
    <row r="3">
      <c r="A3" s="8" t="n">
        <v>2</v>
      </c>
      <c r="B3" s="9" t="inlineStr">
        <is>
          <t>是</t>
        </is>
      </c>
      <c r="C3" s="8" t="inlineStr">
        <is>
          <t>512400.SH</t>
        </is>
      </c>
      <c r="D3" s="8" t="inlineStr">
        <is>
          <t>南方中证申万有色金属ETF</t>
        </is>
      </c>
      <c r="E3" s="8" t="inlineStr">
        <is>
          <t>股票型ETF</t>
        </is>
      </c>
      <c r="F3" s="8" t="inlineStr">
        <is>
          <t>000819.SH</t>
        </is>
      </c>
      <c r="G3" s="8" t="inlineStr">
        <is>
          <t>中证申万有色金属指数</t>
        </is>
      </c>
      <c r="H3" s="10" t="n">
        <v>244381779.8</v>
      </c>
      <c r="I3" s="11" t="n">
        <v>1</v>
      </c>
      <c r="J3" s="11" t="n"/>
      <c r="K3" s="11" t="n">
        <v>0.9</v>
      </c>
      <c r="L3" s="11" t="n">
        <v>0.1</v>
      </c>
    </row>
    <row r="4">
      <c r="A4" s="8" t="n">
        <v>3</v>
      </c>
      <c r="B4" s="9" t="inlineStr">
        <is>
          <t>是</t>
        </is>
      </c>
      <c r="C4" s="8" t="inlineStr">
        <is>
          <t>512010.SH</t>
        </is>
      </c>
      <c r="D4" s="8" t="inlineStr">
        <is>
          <t>易方达沪深300医药ETF</t>
        </is>
      </c>
      <c r="E4" s="8" t="inlineStr">
        <is>
          <t>股票型ETF</t>
        </is>
      </c>
      <c r="F4" s="8" t="inlineStr">
        <is>
          <t>000913.SH</t>
        </is>
      </c>
      <c r="G4" s="8" t="inlineStr">
        <is>
          <t>沪深300医药卫生指数</t>
        </is>
      </c>
      <c r="H4" s="10" t="n">
        <v>134407275.2</v>
      </c>
      <c r="I4" s="11" t="n">
        <v>1</v>
      </c>
      <c r="J4" s="11" t="n"/>
      <c r="K4" s="11" t="n">
        <v>0.9</v>
      </c>
      <c r="L4" s="11" t="n">
        <v>0.1</v>
      </c>
    </row>
    <row r="5">
      <c r="A5" s="8" t="n">
        <v>4</v>
      </c>
      <c r="B5" s="9" t="inlineStr">
        <is>
          <t>是</t>
        </is>
      </c>
      <c r="C5" s="8" t="inlineStr">
        <is>
          <t>159928.SZ</t>
        </is>
      </c>
      <c r="D5" s="8" t="inlineStr">
        <is>
          <t>汇添富中证主要消费ETF</t>
        </is>
      </c>
      <c r="E5" s="8" t="inlineStr">
        <is>
          <t>股票型ETF</t>
        </is>
      </c>
      <c r="F5" s="8" t="inlineStr">
        <is>
          <t>000932.SH</t>
        </is>
      </c>
      <c r="G5" s="8" t="inlineStr">
        <is>
          <t>中证主要消费指数</t>
        </is>
      </c>
      <c r="H5" s="10" t="n">
        <v>107081260.041</v>
      </c>
      <c r="I5" s="11" t="n">
        <v>1</v>
      </c>
      <c r="J5" s="11" t="n"/>
      <c r="K5" s="11" t="n">
        <v>0.9</v>
      </c>
      <c r="L5" s="11" t="n">
        <v>0.1</v>
      </c>
    </row>
    <row r="6">
      <c r="A6" s="8" t="n">
        <v>5</v>
      </c>
      <c r="B6" s="9" t="inlineStr">
        <is>
          <t>是</t>
        </is>
      </c>
      <c r="C6" s="8" t="inlineStr">
        <is>
          <t>159939.SZ</t>
        </is>
      </c>
      <c r="D6" s="8" t="inlineStr">
        <is>
          <t>广发中证全指信息技术ETF</t>
        </is>
      </c>
      <c r="E6" s="8" t="inlineStr">
        <is>
          <t>股票型ETF</t>
        </is>
      </c>
      <c r="F6" s="8" t="inlineStr">
        <is>
          <t>000993.SH</t>
        </is>
      </c>
      <c r="G6" s="8" t="inlineStr">
        <is>
          <t>中证全指信息技术指数</t>
        </is>
      </c>
      <c r="H6" s="10" t="n">
        <v>28866571.5485</v>
      </c>
      <c r="I6" s="11" t="n">
        <v>1</v>
      </c>
      <c r="J6" s="11" t="n"/>
      <c r="K6" s="11" t="n">
        <v>0.9</v>
      </c>
      <c r="L6" s="11" t="n">
        <v>0.1</v>
      </c>
    </row>
    <row r="7">
      <c r="A7" s="8" t="n">
        <v>6</v>
      </c>
      <c r="B7" s="9" t="inlineStr">
        <is>
          <t>是</t>
        </is>
      </c>
      <c r="C7" s="8" t="inlineStr">
        <is>
          <t>512880.SH</t>
        </is>
      </c>
      <c r="D7" s="8" t="inlineStr">
        <is>
          <t>国泰中证全指证券公司ETF</t>
        </is>
      </c>
      <c r="E7" s="8" t="inlineStr">
        <is>
          <t>股票型ETF</t>
        </is>
      </c>
      <c r="F7" s="8" t="inlineStr">
        <is>
          <t>399975.SZ</t>
        </is>
      </c>
      <c r="G7" s="8" t="inlineStr">
        <is>
          <t>中证全指证券公司指数</t>
        </is>
      </c>
      <c r="H7" s="10" t="n">
        <v>1535879238.85</v>
      </c>
      <c r="I7" s="11" t="n">
        <v>1</v>
      </c>
      <c r="J7" s="11" t="n">
        <v>0.998489245402824</v>
      </c>
      <c r="K7" s="11" t="n">
        <v>0.9</v>
      </c>
      <c r="L7" s="11" t="n">
        <v>0.1</v>
      </c>
    </row>
    <row r="8">
      <c r="A8" s="3" t="n">
        <v>6</v>
      </c>
      <c r="B8" s="3" t="inlineStr">
        <is>
          <t>否</t>
        </is>
      </c>
      <c r="C8" s="3" t="inlineStr">
        <is>
          <t>159993.SZ</t>
        </is>
      </c>
      <c r="D8" s="3" t="inlineStr">
        <is>
          <t>龙头券商</t>
        </is>
      </c>
      <c r="E8" s="3" t="inlineStr">
        <is>
          <t>股票型ETF</t>
        </is>
      </c>
      <c r="F8" s="3" t="inlineStr">
        <is>
          <t>399437.SZ</t>
        </is>
      </c>
      <c r="G8" s="3" t="inlineStr">
        <is>
          <t>国证证券龙头指数</t>
        </is>
      </c>
      <c r="H8" s="4" t="n">
        <v>67040797.482</v>
      </c>
      <c r="I8" s="5" t="n">
        <v>0.998489245402824</v>
      </c>
      <c r="J8" s="5" t="n">
        <v>0.998489245402824</v>
      </c>
      <c r="K8" s="5" t="n">
        <v>0.9</v>
      </c>
      <c r="L8" s="5" t="n">
        <v>0.1</v>
      </c>
    </row>
    <row r="9">
      <c r="A9" s="8" t="n">
        <v>7</v>
      </c>
      <c r="B9" s="9" t="inlineStr">
        <is>
          <t>是</t>
        </is>
      </c>
      <c r="C9" s="8" t="inlineStr">
        <is>
          <t>512800.SH</t>
        </is>
      </c>
      <c r="D9" s="8" t="inlineStr">
        <is>
          <t>华宝中证银行ETF</t>
        </is>
      </c>
      <c r="E9" s="8" t="inlineStr">
        <is>
          <t>股票型ETF</t>
        </is>
      </c>
      <c r="F9" s="8" t="inlineStr">
        <is>
          <t>399986.SZ</t>
        </is>
      </c>
      <c r="G9" s="8" t="inlineStr">
        <is>
          <t>中证银行指数</t>
        </is>
      </c>
      <c r="H9" s="10" t="n">
        <v>288104243.95</v>
      </c>
      <c r="I9" s="11" t="n">
        <v>1</v>
      </c>
      <c r="J9" s="11" t="n"/>
      <c r="K9" s="11" t="n">
        <v>0.9</v>
      </c>
      <c r="L9" s="11" t="n">
        <v>0.1</v>
      </c>
    </row>
    <row r="10">
      <c r="A10" s="8" t="n">
        <v>8</v>
      </c>
      <c r="B10" s="9" t="inlineStr">
        <is>
          <t>是</t>
        </is>
      </c>
      <c r="C10" s="8" t="inlineStr">
        <is>
          <t>515220.SH</t>
        </is>
      </c>
      <c r="D10" s="8" t="inlineStr">
        <is>
          <t>国泰中证煤炭ETF</t>
        </is>
      </c>
      <c r="E10" s="8" t="inlineStr">
        <is>
          <t>股票型ETF</t>
        </is>
      </c>
      <c r="F10" s="8" t="inlineStr">
        <is>
          <t>399998.SZ</t>
        </is>
      </c>
      <c r="G10" s="8" t="inlineStr">
        <is>
          <t>中证煤炭指数</t>
        </is>
      </c>
      <c r="H10" s="10" t="n">
        <v>140922185.95</v>
      </c>
      <c r="I10" s="11" t="n">
        <v>1</v>
      </c>
      <c r="J10" s="11" t="n"/>
      <c r="K10" s="11" t="n">
        <v>0.9</v>
      </c>
      <c r="L10" s="11" t="n">
        <v>0.1</v>
      </c>
    </row>
    <row r="11">
      <c r="A11" s="8" t="n">
        <v>9</v>
      </c>
      <c r="B11" s="9" t="inlineStr">
        <is>
          <t>是</t>
        </is>
      </c>
      <c r="C11" s="8" t="inlineStr">
        <is>
          <t>515210.SH</t>
        </is>
      </c>
      <c r="D11" s="8" t="inlineStr">
        <is>
          <t>国泰中证钢铁ETF</t>
        </is>
      </c>
      <c r="E11" s="8" t="inlineStr">
        <is>
          <t>股票型ETF</t>
        </is>
      </c>
      <c r="F11" s="8" t="inlineStr">
        <is>
          <t>930606.CSI</t>
        </is>
      </c>
      <c r="G11" s="8" t="inlineStr">
        <is>
          <t>中证钢铁指数</t>
        </is>
      </c>
      <c r="H11" s="10" t="n">
        <v>110383915.8</v>
      </c>
      <c r="I11" s="11" t="n">
        <v>1</v>
      </c>
      <c r="J11" s="11" t="n"/>
      <c r="K11" s="11" t="n">
        <v>0.9</v>
      </c>
      <c r="L11" s="11" t="n">
        <v>0.1</v>
      </c>
    </row>
    <row r="12">
      <c r="A12" s="8" t="n">
        <v>10</v>
      </c>
      <c r="B12" s="9" t="inlineStr">
        <is>
          <t>是</t>
        </is>
      </c>
      <c r="C12" s="8" t="inlineStr">
        <is>
          <t>159996.SZ</t>
        </is>
      </c>
      <c r="D12" s="8" t="inlineStr">
        <is>
          <t>国泰中证全指家用电器ETF</t>
        </is>
      </c>
      <c r="E12" s="8" t="inlineStr">
        <is>
          <t>股票型ETF</t>
        </is>
      </c>
      <c r="F12" s="8" t="inlineStr">
        <is>
          <t>930697.CSI</t>
        </is>
      </c>
      <c r="G12" s="8" t="inlineStr">
        <is>
          <t>中证全指家用电器指数</t>
        </is>
      </c>
      <c r="H12" s="10" t="n">
        <v>54862232.252</v>
      </c>
      <c r="I12" s="11" t="n">
        <v>1</v>
      </c>
      <c r="J12" s="11" t="n"/>
      <c r="K12" s="11" t="n">
        <v>0.9</v>
      </c>
      <c r="L12" s="11" t="n">
        <v>0.1</v>
      </c>
    </row>
    <row r="13">
      <c r="A13" s="8" t="n">
        <v>11</v>
      </c>
      <c r="B13" s="9" t="inlineStr">
        <is>
          <t>是</t>
        </is>
      </c>
      <c r="C13" s="8" t="inlineStr">
        <is>
          <t>512200.SH</t>
        </is>
      </c>
      <c r="D13" s="8" t="inlineStr">
        <is>
          <t>南方中证全指房地产ETF</t>
        </is>
      </c>
      <c r="E13" s="8" t="inlineStr">
        <is>
          <t>股票型ETF</t>
        </is>
      </c>
      <c r="F13" s="8" t="inlineStr">
        <is>
          <t>931775.CSI</t>
        </is>
      </c>
      <c r="G13" s="8" t="inlineStr">
        <is>
          <t>中证全指房地产指数</t>
        </is>
      </c>
      <c r="H13" s="10" t="n">
        <v>54447266.7</v>
      </c>
      <c r="I13" s="11" t="n">
        <v>1</v>
      </c>
      <c r="J13" s="11" t="n"/>
      <c r="K13" s="11" t="n">
        <v>0.9</v>
      </c>
      <c r="L13" s="11" t="n">
        <v>0.1</v>
      </c>
    </row>
  </sheetData>
  <autoFilter ref="A1:L13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2026-09-07T08:51:40Z</dcterms:created>
  <dcterms:modified xmlns:dcterms="http://purl.org/dc/terms/" xmlns:xsi="http://www.w3.org/2001/XMLSchema-instance" xsi:type="dcterms:W3CDTF">2026-09-07T08:51:40Z</dcterms:modified>
</cp:coreProperties>
</file>